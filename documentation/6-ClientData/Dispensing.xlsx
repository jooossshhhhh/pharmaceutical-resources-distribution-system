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documentation\6-ClientData\"/>
    </mc:Choice>
  </mc:AlternateContent>
  <xr:revisionPtr revIDLastSave="0" documentId="13_ncr:1_{1399ACE9-950C-459E-8F10-36FEFE309401}" xr6:coauthVersionLast="47" xr6:coauthVersionMax="47" xr10:uidLastSave="{00000000-0000-0000-0000-000000000000}"/>
  <bookViews>
    <workbookView xWindow="-120" yWindow="-120" windowWidth="20730" windowHeight="11760" xr2:uid="{95B59B96-826A-486D-B9A1-D5091316D98E}"/>
  </bookViews>
  <sheets>
    <sheet name="Ju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1" l="1"/>
  <c r="H26" i="1"/>
  <c r="H18" i="1"/>
  <c r="H17" i="1"/>
</calcChain>
</file>

<file path=xl/sharedStrings.xml><?xml version="1.0" encoding="utf-8"?>
<sst xmlns="http://schemas.openxmlformats.org/spreadsheetml/2006/main" count="314" uniqueCount="168">
  <si>
    <t>ITEM DESCRIPTION</t>
  </si>
  <si>
    <t>UNIT OF MEASURE</t>
  </si>
  <si>
    <t>QTY</t>
  </si>
  <si>
    <t xml:space="preserve">Acetylcysteine 200 mg                                    </t>
  </si>
  <si>
    <t>TABLET</t>
  </si>
  <si>
    <t xml:space="preserve">Acetylcysteine 600 mg                                    </t>
  </si>
  <si>
    <t xml:space="preserve">Aciclovir 400 mg                                                                            </t>
  </si>
  <si>
    <t xml:space="preserve">Aciclovir 800 mg                                                                            </t>
  </si>
  <si>
    <t xml:space="preserve">Allopurinol 100 mg             </t>
  </si>
  <si>
    <t xml:space="preserve">ALLOPURINOL 300 MG          </t>
  </si>
  <si>
    <t xml:space="preserve">Aluminum Hydroxide + Magnesium Hydroxide 200 mg + 100 mg             </t>
  </si>
  <si>
    <t>Amlodipine 10 mg</t>
  </si>
  <si>
    <t xml:space="preserve">Amlodipine 5 mg                              </t>
  </si>
  <si>
    <t xml:space="preserve">Amoxicillin 100 mg/mL, 10 mL                                                                </t>
  </si>
  <si>
    <t>BOTTLE</t>
  </si>
  <si>
    <t>Amoxicillin 250 mg</t>
  </si>
  <si>
    <t>CAPSULE</t>
  </si>
  <si>
    <t>Amoxicillin 250 mg/5mL, 60mL</t>
  </si>
  <si>
    <t>AMOXICILLIN TRIHYDRATE 100 MG/ML, 10 ML</t>
  </si>
  <si>
    <t>AMOXICILLIN TRIHYDRATE 500 MG</t>
  </si>
  <si>
    <t xml:space="preserve">ARIPIPRAZOLE 10 MG                          </t>
  </si>
  <si>
    <t xml:space="preserve">Ascorbic 100mg/ml syrup 60mL                                                                              </t>
  </si>
  <si>
    <t>Ascorbic acid 500 mg</t>
  </si>
  <si>
    <t xml:space="preserve">Aspirin 80 mg                                </t>
  </si>
  <si>
    <t xml:space="preserve">Atenolol 100mg                               </t>
  </si>
  <si>
    <t xml:space="preserve">Atenolol 50 mg                               </t>
  </si>
  <si>
    <t>Atorvastatin 20 mg</t>
  </si>
  <si>
    <t>Atorvastatin 40 mg</t>
  </si>
  <si>
    <t xml:space="preserve">Azithromycin 200 mg/5mL, 15 mL                                                              </t>
  </si>
  <si>
    <t>AZITHROMYCIN 500 MG</t>
  </si>
  <si>
    <t xml:space="preserve">Azithromycin 500 mg                                                                         </t>
  </si>
  <si>
    <t xml:space="preserve">Betahistine 16 mg      </t>
  </si>
  <si>
    <t xml:space="preserve">Betahistine 24 mg      </t>
  </si>
  <si>
    <t xml:space="preserve">Betamethasone 0.1% 5 g cream  </t>
  </si>
  <si>
    <t>TUBE</t>
  </si>
  <si>
    <t xml:space="preserve">Bisacodyl 5 mg                                                       </t>
  </si>
  <si>
    <t xml:space="preserve">Budesonide 250mcg/mL, 2 mL respiratory solution          </t>
  </si>
  <si>
    <t>NEBULE</t>
  </si>
  <si>
    <t>Calcium Carbonate + Cholecalciferol ( D3) 600 mg + 400 IU</t>
  </si>
  <si>
    <t xml:space="preserve">CAPTOPRIL 25 MG              </t>
  </si>
  <si>
    <t>Carvedilol 25 mg</t>
  </si>
  <si>
    <t>Carvedilol 6.25</t>
  </si>
  <si>
    <t xml:space="preserve">Cefalexin  monohydrate 250mg/5ml, 60ml                                                      </t>
  </si>
  <si>
    <t xml:space="preserve">Cefixime 200 mg                                                                             </t>
  </si>
  <si>
    <t xml:space="preserve">Cefuroxime 250 mg/5mL, 50 mL                                                                </t>
  </si>
  <si>
    <t>CEFUROXIME 500 MG</t>
  </si>
  <si>
    <t>Celecoxib 200 mg</t>
  </si>
  <si>
    <t xml:space="preserve">Cetirizine 1 mg/mL, 60 mL syrup                          </t>
  </si>
  <si>
    <t xml:space="preserve">Cetirizine 10 mg                                         </t>
  </si>
  <si>
    <t xml:space="preserve">Cetirizine 2.5 mg/mL, 10 ml oral drops                   </t>
  </si>
  <si>
    <t xml:space="preserve">CHLORPHENAMINE MALEATE 2 MG/5ML, 60 ML                   </t>
  </si>
  <si>
    <t>Chlorphenamine maleate 4 mg</t>
  </si>
  <si>
    <t>CHLORPROMAZINE 100 MG</t>
  </si>
  <si>
    <t>CIPROFLOXACIN 500 MG</t>
  </si>
  <si>
    <t>Clarithromycin  250 mg/5mL, 60 mL</t>
  </si>
  <si>
    <t xml:space="preserve">Clarithromycin  500 mg                                                                      </t>
  </si>
  <si>
    <t>Clindamycin</t>
  </si>
  <si>
    <t xml:space="preserve">Clonidine 150 mcg                            </t>
  </si>
  <si>
    <t xml:space="preserve">Clonidine 75 mcg                             </t>
  </si>
  <si>
    <t xml:space="preserve">Clopidogrel 75 mg                            </t>
  </si>
  <si>
    <t>Cloxacilin 250mg/5mL, 60 mL</t>
  </si>
  <si>
    <t>Cloxacillin 500 mg</t>
  </si>
  <si>
    <t xml:space="preserve">Clozapine 25 mg                                                         </t>
  </si>
  <si>
    <t>Co-amoxiclav 200 mg + 28.5 mg/mL, 70 mL/ Amoxicillin+ Clavulanic acid 200mg+28.5mg/5ml, 70ml</t>
  </si>
  <si>
    <t xml:space="preserve">Co-amoxiclav 400 mg + 57 mg/mL, 70 mL/ Amoxicillin+ Clavulanic acid 400mg+57mg/5ml, 70ml    </t>
  </si>
  <si>
    <t>Co-amoxiclav 625 mg</t>
  </si>
  <si>
    <t xml:space="preserve">Colchicine 500 mcg             </t>
  </si>
  <si>
    <t xml:space="preserve">Dextromethorphan 10 mg                                   </t>
  </si>
  <si>
    <t>DICLOFENAC 50 MG</t>
  </si>
  <si>
    <t>DICYCLOVERINE 10 MG</t>
  </si>
  <si>
    <t>DICYCLOVERINE 10 MG /5ML, 60 ML</t>
  </si>
  <si>
    <t xml:space="preserve">Digoxin 250 mcg                              </t>
  </si>
  <si>
    <t xml:space="preserve">DIPHENHYDRAMINE 50 MG                                    </t>
  </si>
  <si>
    <t xml:space="preserve">Divalproex Sodium ( Sodium Valproate + Valproaic acid) 500 mg           </t>
  </si>
  <si>
    <t>DONEPEZIL 10MG</t>
  </si>
  <si>
    <t>DOXYCYCLINE 100 MG</t>
  </si>
  <si>
    <t xml:space="preserve">Enalapril 5 mg                               </t>
  </si>
  <si>
    <t>Erythromycin 500 mg</t>
  </si>
  <si>
    <t xml:space="preserve">ESCITALOPRAM 10 MG ( AS OXALATE)            </t>
  </si>
  <si>
    <t>Ferrous + Folic acid 60 mg + folic acid 60 mg + 400 mcg</t>
  </si>
  <si>
    <t xml:space="preserve">Finasteride 5 mg </t>
  </si>
  <si>
    <t>Finofibrate 160 mg</t>
  </si>
  <si>
    <t>Fluphenazine 25 mg/mL ( as decanoate), 1 mL</t>
  </si>
  <si>
    <t>AMPULE</t>
  </si>
  <si>
    <t>Fluticasone + salmeterol 250 mcg + 25 mcg x 120 doses MDI</t>
  </si>
  <si>
    <t>INHALER</t>
  </si>
  <si>
    <t xml:space="preserve">Folic acid 5 mg                                                                                           </t>
  </si>
  <si>
    <t xml:space="preserve">Furosemide 40 mg                                                     </t>
  </si>
  <si>
    <t>FUSIDIC ACID 2%, 10 G OINTMENT</t>
  </si>
  <si>
    <t xml:space="preserve">Gliclazide 30 mg                                                                                                           </t>
  </si>
  <si>
    <t xml:space="preserve">Gliclazide 60 mg                                                                                                           </t>
  </si>
  <si>
    <t xml:space="preserve">Gliclazide 80 mg                                                                                                           </t>
  </si>
  <si>
    <t xml:space="preserve">Hydroxychloroquine 200mg       </t>
  </si>
  <si>
    <t>Hyoscine N-Butylbromide 10 mg</t>
  </si>
  <si>
    <t xml:space="preserve">Ibuprofen 200 mg/5mL, 60 mL    </t>
  </si>
  <si>
    <t xml:space="preserve">Ibuprofen 400 mg               </t>
  </si>
  <si>
    <t xml:space="preserve">Insulin Biphasic Isophane Human 70/30 ( Recombinant DNA ) 70 % isopahne suspension + 30 % soluble insulin in 100 IU, 10 mL </t>
  </si>
  <si>
    <t>VIAL</t>
  </si>
  <si>
    <t xml:space="preserve">Insulin Glargine 100 IU/ mL, 3 mL                                                                                          </t>
  </si>
  <si>
    <t>Irbesartan 150 mg</t>
  </si>
  <si>
    <t xml:space="preserve">Irbesartan 300 mg                            </t>
  </si>
  <si>
    <t xml:space="preserve">Isosorbide mononitrate 60 mg( scored tablet) </t>
  </si>
  <si>
    <t xml:space="preserve">Ketoconazole 2%, 15 g cream   </t>
  </si>
  <si>
    <t xml:space="preserve">Lactulose 3.33 g/5mL, 120 mL                                         </t>
  </si>
  <si>
    <t xml:space="preserve">Lagundi 300 mg                                           </t>
  </si>
  <si>
    <t xml:space="preserve">Lagundi leaf 300 mg/5mL, 120 mL                          </t>
  </si>
  <si>
    <t xml:space="preserve">Levetiracetam 500 mg                                                    </t>
  </si>
  <si>
    <t xml:space="preserve">Levodopa + Carbidopa 100 mg + 25 mg                                     </t>
  </si>
  <si>
    <t>Levofloxacin 500 mg</t>
  </si>
  <si>
    <t xml:space="preserve">Levothyroxine 100 mcg  </t>
  </si>
  <si>
    <t>Losartan 100 g</t>
  </si>
  <si>
    <t>Losartan 100 mg + HCTZ 12.5 mg</t>
  </si>
  <si>
    <t>Losartan 50 mg</t>
  </si>
  <si>
    <t xml:space="preserve">LOSARTAN 50 MG               </t>
  </si>
  <si>
    <t xml:space="preserve">Losartan 50 mg                               </t>
  </si>
  <si>
    <t xml:space="preserve">Losartan 50 mg + HCTZ 12.5 mg                </t>
  </si>
  <si>
    <t>MEFENAMIC 250 MG</t>
  </si>
  <si>
    <t>Mefenamic acid 50 mg/5mL, 60 mL</t>
  </si>
  <si>
    <t xml:space="preserve">Mefenamic acid 500 mg          </t>
  </si>
  <si>
    <t>Metformin Hydrochloride 500 mg</t>
  </si>
  <si>
    <t xml:space="preserve">Methimazole 5 mg       </t>
  </si>
  <si>
    <t xml:space="preserve">Methyldopa 250mg                             </t>
  </si>
  <si>
    <t xml:space="preserve">Metochlopramide 10 mg                                                </t>
  </si>
  <si>
    <t xml:space="preserve">Metochlopramide 5 mg/5mL  60 mL                                      </t>
  </si>
  <si>
    <t>Metoprolol 100 mg</t>
  </si>
  <si>
    <t>Metoprolol 50 mg</t>
  </si>
  <si>
    <t>Metronidazole 125 mg/5mL, 60 mL</t>
  </si>
  <si>
    <t>Metronidazole 500 mg</t>
  </si>
  <si>
    <t xml:space="preserve">Montelukast 10 mg                                        </t>
  </si>
  <si>
    <t>Multivitamins</t>
  </si>
  <si>
    <t xml:space="preserve">Multivitamins 15 mg oral drops                                                                            </t>
  </si>
  <si>
    <t>Multivitamins 60 mL</t>
  </si>
  <si>
    <t xml:space="preserve">Nifedipine 10 mg                             </t>
  </si>
  <si>
    <t xml:space="preserve">Olanzapine 10 mg                                                        </t>
  </si>
  <si>
    <t xml:space="preserve">OMEPRAZOLE 20 MG                                        </t>
  </si>
  <si>
    <t>Omeprazole 40 mg</t>
  </si>
  <si>
    <t xml:space="preserve">ORAL REHYDRATION SALT ( ORS 75-REPLACEMENT) 5.575 G       </t>
  </si>
  <si>
    <t>SACHET</t>
  </si>
  <si>
    <t>PARACETAMOL 100 MG/ML, 15 ML</t>
  </si>
  <si>
    <t xml:space="preserve">Paracetamol 250 mg/5mL, 60 mL  </t>
  </si>
  <si>
    <t>Potassium Chloride</t>
  </si>
  <si>
    <t xml:space="preserve">Potassium Citrate 10 mEq                                             </t>
  </si>
  <si>
    <t xml:space="preserve">Prednisone 20 mg       </t>
  </si>
  <si>
    <t xml:space="preserve">PROPANOLOL 10 MG              </t>
  </si>
  <si>
    <t xml:space="preserve">Risperidone 2 mg                                                        </t>
  </si>
  <si>
    <t>Rosuvastatin 10 mg</t>
  </si>
  <si>
    <t>Rosuvastatin 20 mg</t>
  </si>
  <si>
    <t xml:space="preserve">Salbutamol 1 mg/mL, 2.5 mL                               </t>
  </si>
  <si>
    <t xml:space="preserve">Salbutamol 100 mcg/dose x 200 doses MDI                  </t>
  </si>
  <si>
    <t xml:space="preserve">Salbutamol 2 mg                                          </t>
  </si>
  <si>
    <t xml:space="preserve">SALBUTAMOL 2 MG/5 ML, 60 ML                              </t>
  </si>
  <si>
    <t xml:space="preserve">Sambong 500 mg                                                       </t>
  </si>
  <si>
    <t xml:space="preserve">Silver Sulfadiazine 1%, 25 g  </t>
  </si>
  <si>
    <t xml:space="preserve">SIMVASTATIN 20 MG </t>
  </si>
  <si>
    <t xml:space="preserve">SIMVASTATIN 40 MG </t>
  </si>
  <si>
    <t>Sodium Bicarbonate 650 mg</t>
  </si>
  <si>
    <t xml:space="preserve">Spironolactone 50 mg                                                 </t>
  </si>
  <si>
    <t xml:space="preserve">Tamsolusin 400 mcg                                                   </t>
  </si>
  <si>
    <t xml:space="preserve">Telmisartan 80 mg                            </t>
  </si>
  <si>
    <t>TOBRAMYCIN  0.3 %, 5ML</t>
  </si>
  <si>
    <t xml:space="preserve">TOBRAMYCIN + DEXAMETHASONE  EYE                 DROPS 0.3 %  + 0.1 %, 5 ML </t>
  </si>
  <si>
    <t xml:space="preserve">Trimetazidine 35 mg                          </t>
  </si>
  <si>
    <t xml:space="preserve">Valproic acid 250 mg/5mL, 120 mL                                        </t>
  </si>
  <si>
    <t>Vitamin A ( 200,000 IU)</t>
  </si>
  <si>
    <t>SOFTGEL CAPSULE</t>
  </si>
  <si>
    <t>Vitamin B1 + Vitamin B6 + Vitamin B12 , 100 mg + 5 mg + 50 mcg</t>
  </si>
  <si>
    <t>Zinc Sulfate 55 mg/5mL, 60 mL syrup</t>
  </si>
  <si>
    <t>July Dispensing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</si>
</sst>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masis MT Pro"/>
      <family val="1"/>
    </font>
    <font>
      <sz val="9"/>
      <name val="Amasis MT Pro"/>
      <family val="1"/>
    </font>
    <font>
      <b/>
      <sz val="10"/>
      <name val="Amasis MT Pro"/>
      <family val="1"/>
    </font>
    <font>
      <b/>
      <sz val="9"/>
      <name val="Amasis MT Pro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64" fontId="3" fillId="3" borderId="1" xfId="1" applyNumberFormat="1" applyFont="1" applyFill="1" applyBorder="1" applyAlignment="1">
      <alignment vertical="center"/>
    </xf>
    <xf numFmtId="164" fontId="4" fillId="3" borderId="1" xfId="1" applyNumberFormat="1" applyFont="1" applyFill="1" applyBorder="1" applyAlignment="1">
      <alignment vertical="center"/>
    </xf>
    <xf numFmtId="0" fontId="4" fillId="0" borderId="1" xfId="0" applyFont="1" applyBorder="1"/>
    <xf numFmtId="164" fontId="3" fillId="3" borderId="1" xfId="1" applyNumberFormat="1" applyFont="1" applyFill="1" applyBorder="1" applyAlignment="1">
      <alignment vertical="center" wrapText="1"/>
    </xf>
    <xf numFmtId="0" fontId="3" fillId="0" borderId="1" xfId="1" applyFont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ED01E3AE-A901-4BBD-8915-C24B6859A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3BCF-8FE3-41E9-9DBC-6BFB7766C00B}">
  <dimension ref="F1:H158"/>
  <sheetViews>
    <sheetView tabSelected="1" topLeftCell="A147" workbookViewId="0">
      <selection activeCell="J152" sqref="J152"/>
    </sheetView>
  </sheetViews>
  <sheetFormatPr defaultRowHeight="15" x14ac:dyDescent="0.25"/>
  <cols>
    <col min="6" max="6" width="61.85546875" customWidth="1"/>
    <col min="7" max="7" width="17.7109375" bestFit="1" customWidth="1"/>
    <col min="8" max="8" width="12" customWidth="1"/>
  </cols>
  <sheetData>
    <row r="1" spans="6:8" x14ac:dyDescent="0.25">
      <c r="F1" s="14" t="s">
        <v>167</v>
      </c>
      <c r="G1" s="15"/>
      <c r="H1" s="16"/>
    </row>
    <row r="2" spans="6:8" x14ac:dyDescent="0.25">
      <c r="F2" s="17" t="s">
        <v>0</v>
      </c>
      <c r="G2" s="18" t="s">
        <v>1</v>
      </c>
      <c r="H2" s="19" t="s">
        <v>2</v>
      </c>
    </row>
    <row r="3" spans="6:8" ht="24.95" customHeight="1" x14ac:dyDescent="0.25">
      <c r="F3" s="1" t="s">
        <v>3</v>
      </c>
      <c r="G3" s="2" t="s">
        <v>4</v>
      </c>
      <c r="H3" s="3">
        <v>110</v>
      </c>
    </row>
    <row r="4" spans="6:8" ht="24.95" customHeight="1" x14ac:dyDescent="0.25">
      <c r="F4" s="1" t="s">
        <v>5</v>
      </c>
      <c r="G4" s="2" t="s">
        <v>4</v>
      </c>
      <c r="H4" s="3">
        <v>995</v>
      </c>
    </row>
    <row r="5" spans="6:8" ht="24.95" customHeight="1" x14ac:dyDescent="0.25">
      <c r="F5" s="4" t="s">
        <v>6</v>
      </c>
      <c r="G5" s="2" t="s">
        <v>4</v>
      </c>
      <c r="H5" s="3">
        <v>145</v>
      </c>
    </row>
    <row r="6" spans="6:8" ht="24.95" customHeight="1" x14ac:dyDescent="0.25">
      <c r="F6" s="4" t="s">
        <v>7</v>
      </c>
      <c r="G6" s="2" t="s">
        <v>4</v>
      </c>
      <c r="H6" s="3">
        <v>605</v>
      </c>
    </row>
    <row r="7" spans="6:8" ht="24.95" customHeight="1" x14ac:dyDescent="0.25">
      <c r="F7" s="1" t="s">
        <v>8</v>
      </c>
      <c r="G7" s="2" t="s">
        <v>4</v>
      </c>
      <c r="H7" s="3">
        <v>1420</v>
      </c>
    </row>
    <row r="8" spans="6:8" ht="24.95" customHeight="1" x14ac:dyDescent="0.25">
      <c r="F8" s="5" t="s">
        <v>9</v>
      </c>
      <c r="G8" s="2" t="s">
        <v>4</v>
      </c>
      <c r="H8" s="3">
        <v>2150</v>
      </c>
    </row>
    <row r="9" spans="6:8" ht="24.95" customHeight="1" x14ac:dyDescent="0.25">
      <c r="F9" s="6" t="s">
        <v>10</v>
      </c>
      <c r="G9" s="2" t="s">
        <v>4</v>
      </c>
      <c r="H9" s="3">
        <v>1631</v>
      </c>
    </row>
    <row r="10" spans="6:8" ht="24.95" customHeight="1" x14ac:dyDescent="0.25">
      <c r="F10" s="7" t="s">
        <v>11</v>
      </c>
      <c r="G10" s="2" t="s">
        <v>4</v>
      </c>
      <c r="H10" s="3">
        <v>67723</v>
      </c>
    </row>
    <row r="11" spans="6:8" ht="24.95" customHeight="1" x14ac:dyDescent="0.25">
      <c r="F11" s="1" t="s">
        <v>12</v>
      </c>
      <c r="G11" s="2" t="s">
        <v>4</v>
      </c>
      <c r="H11" s="3">
        <v>40909</v>
      </c>
    </row>
    <row r="12" spans="6:8" ht="24.95" customHeight="1" x14ac:dyDescent="0.25">
      <c r="F12" s="4" t="s">
        <v>13</v>
      </c>
      <c r="G12" s="2" t="s">
        <v>14</v>
      </c>
      <c r="H12" s="3">
        <v>146</v>
      </c>
    </row>
    <row r="13" spans="6:8" ht="24.95" customHeight="1" x14ac:dyDescent="0.25">
      <c r="F13" s="4" t="s">
        <v>15</v>
      </c>
      <c r="G13" s="2" t="s">
        <v>16</v>
      </c>
      <c r="H13" s="3">
        <v>100</v>
      </c>
    </row>
    <row r="14" spans="6:8" ht="24.95" customHeight="1" x14ac:dyDescent="0.25">
      <c r="F14" s="8" t="s">
        <v>17</v>
      </c>
      <c r="G14" s="2" t="s">
        <v>14</v>
      </c>
      <c r="H14" s="3">
        <v>195</v>
      </c>
    </row>
    <row r="15" spans="6:8" ht="24.95" customHeight="1" x14ac:dyDescent="0.25">
      <c r="F15" s="5" t="s">
        <v>18</v>
      </c>
      <c r="G15" s="2" t="s">
        <v>14</v>
      </c>
      <c r="H15" s="3">
        <v>36</v>
      </c>
    </row>
    <row r="16" spans="6:8" ht="24.95" customHeight="1" x14ac:dyDescent="0.25">
      <c r="F16" s="5" t="s">
        <v>19</v>
      </c>
      <c r="G16" s="2" t="s">
        <v>16</v>
      </c>
      <c r="H16" s="3">
        <v>1996</v>
      </c>
    </row>
    <row r="17" spans="6:8" ht="24.95" customHeight="1" x14ac:dyDescent="0.25">
      <c r="F17" s="5" t="s">
        <v>20</v>
      </c>
      <c r="G17" s="2" t="s">
        <v>4</v>
      </c>
      <c r="H17" s="3">
        <f>180+90</f>
        <v>270</v>
      </c>
    </row>
    <row r="18" spans="6:8" ht="24.95" customHeight="1" x14ac:dyDescent="0.25">
      <c r="F18" s="4" t="s">
        <v>21</v>
      </c>
      <c r="G18" s="2" t="s">
        <v>14</v>
      </c>
      <c r="H18" s="3">
        <f>302+63</f>
        <v>365</v>
      </c>
    </row>
    <row r="19" spans="6:8" ht="24.95" customHeight="1" x14ac:dyDescent="0.25">
      <c r="F19" s="4" t="s">
        <v>22</v>
      </c>
      <c r="G19" s="2" t="s">
        <v>4</v>
      </c>
      <c r="H19" s="3">
        <v>6300</v>
      </c>
    </row>
    <row r="20" spans="6:8" ht="24.95" customHeight="1" x14ac:dyDescent="0.25">
      <c r="F20" s="4" t="s">
        <v>23</v>
      </c>
      <c r="G20" s="2" t="s">
        <v>4</v>
      </c>
      <c r="H20" s="3">
        <v>8616</v>
      </c>
    </row>
    <row r="21" spans="6:8" ht="24.95" customHeight="1" x14ac:dyDescent="0.25">
      <c r="F21" s="1" t="s">
        <v>24</v>
      </c>
      <c r="G21" s="2" t="s">
        <v>4</v>
      </c>
      <c r="H21" s="3">
        <v>1254</v>
      </c>
    </row>
    <row r="22" spans="6:8" ht="24.95" customHeight="1" x14ac:dyDescent="0.25">
      <c r="F22" s="1" t="s">
        <v>25</v>
      </c>
      <c r="G22" s="2" t="s">
        <v>4</v>
      </c>
      <c r="H22" s="3">
        <v>460</v>
      </c>
    </row>
    <row r="23" spans="6:8" ht="24.95" customHeight="1" x14ac:dyDescent="0.25">
      <c r="F23" s="4" t="s">
        <v>26</v>
      </c>
      <c r="G23" s="2" t="s">
        <v>4</v>
      </c>
      <c r="H23" s="3">
        <v>12774</v>
      </c>
    </row>
    <row r="24" spans="6:8" ht="24.95" customHeight="1" x14ac:dyDescent="0.25">
      <c r="F24" s="4" t="s">
        <v>27</v>
      </c>
      <c r="G24" s="2" t="s">
        <v>4</v>
      </c>
      <c r="H24" s="3">
        <v>11857</v>
      </c>
    </row>
    <row r="25" spans="6:8" ht="24.95" customHeight="1" x14ac:dyDescent="0.25">
      <c r="F25" s="4" t="s">
        <v>28</v>
      </c>
      <c r="G25" s="2" t="s">
        <v>14</v>
      </c>
      <c r="H25" s="3">
        <v>15</v>
      </c>
    </row>
    <row r="26" spans="6:8" ht="24.95" customHeight="1" x14ac:dyDescent="0.25">
      <c r="F26" s="5" t="s">
        <v>29</v>
      </c>
      <c r="G26" s="2" t="s">
        <v>4</v>
      </c>
      <c r="H26" s="3">
        <f>94+930</f>
        <v>1024</v>
      </c>
    </row>
    <row r="27" spans="6:8" ht="24.95" customHeight="1" x14ac:dyDescent="0.25">
      <c r="F27" s="4" t="s">
        <v>30</v>
      </c>
      <c r="G27" s="2" t="s">
        <v>4</v>
      </c>
      <c r="H27" s="3">
        <v>930</v>
      </c>
    </row>
    <row r="28" spans="6:8" ht="24.95" customHeight="1" x14ac:dyDescent="0.25">
      <c r="F28" s="1" t="s">
        <v>31</v>
      </c>
      <c r="G28" s="2" t="s">
        <v>4</v>
      </c>
      <c r="H28" s="3">
        <v>776</v>
      </c>
    </row>
    <row r="29" spans="6:8" ht="24.95" customHeight="1" x14ac:dyDescent="0.25">
      <c r="F29" s="1" t="s">
        <v>32</v>
      </c>
      <c r="G29" s="2" t="s">
        <v>4</v>
      </c>
      <c r="H29" s="3">
        <v>347</v>
      </c>
    </row>
    <row r="30" spans="6:8" ht="24.95" customHeight="1" x14ac:dyDescent="0.25">
      <c r="F30" s="6" t="s">
        <v>33</v>
      </c>
      <c r="G30" s="2" t="s">
        <v>34</v>
      </c>
      <c r="H30" s="3">
        <v>37</v>
      </c>
    </row>
    <row r="31" spans="6:8" ht="24.95" customHeight="1" x14ac:dyDescent="0.25">
      <c r="F31" s="6" t="s">
        <v>35</v>
      </c>
      <c r="G31" s="2" t="s">
        <v>4</v>
      </c>
      <c r="H31" s="3">
        <v>102</v>
      </c>
    </row>
    <row r="32" spans="6:8" ht="24.95" customHeight="1" x14ac:dyDescent="0.25">
      <c r="F32" s="1" t="s">
        <v>36</v>
      </c>
      <c r="G32" s="2" t="s">
        <v>37</v>
      </c>
      <c r="H32" s="3">
        <v>84</v>
      </c>
    </row>
    <row r="33" spans="6:8" ht="24.95" customHeight="1" x14ac:dyDescent="0.25">
      <c r="F33" s="4" t="s">
        <v>38</v>
      </c>
      <c r="G33" s="2" t="s">
        <v>4</v>
      </c>
      <c r="H33" s="3">
        <v>10300</v>
      </c>
    </row>
    <row r="34" spans="6:8" ht="24.95" customHeight="1" x14ac:dyDescent="0.25">
      <c r="F34" s="6" t="s">
        <v>39</v>
      </c>
      <c r="G34" s="2" t="s">
        <v>4</v>
      </c>
      <c r="H34" s="3">
        <v>36</v>
      </c>
    </row>
    <row r="35" spans="6:8" ht="24.95" customHeight="1" x14ac:dyDescent="0.25">
      <c r="F35" s="4" t="s">
        <v>40</v>
      </c>
      <c r="G35" s="2" t="s">
        <v>4</v>
      </c>
      <c r="H35" s="3">
        <v>825</v>
      </c>
    </row>
    <row r="36" spans="6:8" ht="24.95" customHeight="1" x14ac:dyDescent="0.25">
      <c r="F36" s="4" t="s">
        <v>41</v>
      </c>
      <c r="G36" s="2" t="s">
        <v>4</v>
      </c>
      <c r="H36" s="3">
        <v>4530</v>
      </c>
    </row>
    <row r="37" spans="6:8" ht="24.95" customHeight="1" x14ac:dyDescent="0.25">
      <c r="F37" s="4" t="s">
        <v>42</v>
      </c>
      <c r="G37" s="2" t="s">
        <v>14</v>
      </c>
      <c r="H37" s="3">
        <f>128+127</f>
        <v>255</v>
      </c>
    </row>
    <row r="38" spans="6:8" ht="24.95" customHeight="1" x14ac:dyDescent="0.25">
      <c r="F38" s="4" t="s">
        <v>43</v>
      </c>
      <c r="G38" s="2" t="s">
        <v>4</v>
      </c>
      <c r="H38" s="3">
        <v>470</v>
      </c>
    </row>
    <row r="39" spans="6:8" ht="24.95" customHeight="1" x14ac:dyDescent="0.25">
      <c r="F39" s="4" t="s">
        <v>44</v>
      </c>
      <c r="G39" s="2" t="s">
        <v>14</v>
      </c>
      <c r="H39" s="3">
        <v>106</v>
      </c>
    </row>
    <row r="40" spans="6:8" ht="24.95" customHeight="1" x14ac:dyDescent="0.25">
      <c r="F40" s="4" t="s">
        <v>45</v>
      </c>
      <c r="G40" s="2" t="s">
        <v>4</v>
      </c>
      <c r="H40" s="3">
        <v>4242</v>
      </c>
    </row>
    <row r="41" spans="6:8" ht="24.95" customHeight="1" x14ac:dyDescent="0.25">
      <c r="F41" s="4" t="s">
        <v>46</v>
      </c>
      <c r="G41" s="2" t="s">
        <v>4</v>
      </c>
      <c r="H41" s="3">
        <v>5272</v>
      </c>
    </row>
    <row r="42" spans="6:8" ht="24.95" customHeight="1" x14ac:dyDescent="0.25">
      <c r="F42" s="1" t="s">
        <v>47</v>
      </c>
      <c r="G42" s="2" t="s">
        <v>4</v>
      </c>
      <c r="H42" s="3">
        <v>352</v>
      </c>
    </row>
    <row r="43" spans="6:8" ht="24.95" customHeight="1" x14ac:dyDescent="0.25">
      <c r="F43" s="1" t="s">
        <v>48</v>
      </c>
      <c r="G43" s="2" t="s">
        <v>4</v>
      </c>
      <c r="H43" s="3">
        <v>3869</v>
      </c>
    </row>
    <row r="44" spans="6:8" ht="24.95" customHeight="1" x14ac:dyDescent="0.25">
      <c r="F44" s="1" t="s">
        <v>49</v>
      </c>
      <c r="G44" s="2" t="s">
        <v>14</v>
      </c>
      <c r="H44" s="3">
        <v>225</v>
      </c>
    </row>
    <row r="45" spans="6:8" ht="24.95" customHeight="1" x14ac:dyDescent="0.25">
      <c r="F45" s="6" t="s">
        <v>50</v>
      </c>
      <c r="G45" s="2" t="s">
        <v>14</v>
      </c>
      <c r="H45" s="3">
        <v>573</v>
      </c>
    </row>
    <row r="46" spans="6:8" ht="24.95" customHeight="1" x14ac:dyDescent="0.25">
      <c r="F46" s="8" t="s">
        <v>51</v>
      </c>
      <c r="G46" s="2" t="s">
        <v>4</v>
      </c>
      <c r="H46" s="3">
        <v>4918</v>
      </c>
    </row>
    <row r="47" spans="6:8" ht="24.95" customHeight="1" x14ac:dyDescent="0.25">
      <c r="F47" s="9" t="s">
        <v>52</v>
      </c>
      <c r="G47" s="2" t="s">
        <v>4</v>
      </c>
      <c r="H47" s="3">
        <v>3070</v>
      </c>
    </row>
    <row r="48" spans="6:8" ht="24.95" customHeight="1" x14ac:dyDescent="0.25">
      <c r="F48" s="9" t="s">
        <v>53</v>
      </c>
      <c r="G48" s="2" t="s">
        <v>4</v>
      </c>
      <c r="H48" s="3">
        <v>6413</v>
      </c>
    </row>
    <row r="49" spans="6:8" ht="24.95" customHeight="1" x14ac:dyDescent="0.25">
      <c r="F49" s="4" t="s">
        <v>54</v>
      </c>
      <c r="G49" s="2" t="s">
        <v>14</v>
      </c>
      <c r="H49" s="3">
        <v>12</v>
      </c>
    </row>
    <row r="50" spans="6:8" ht="24.95" customHeight="1" x14ac:dyDescent="0.25">
      <c r="F50" s="4" t="s">
        <v>55</v>
      </c>
      <c r="G50" s="2" t="s">
        <v>4</v>
      </c>
      <c r="H50" s="3">
        <v>116</v>
      </c>
    </row>
    <row r="51" spans="6:8" ht="24.95" customHeight="1" x14ac:dyDescent="0.25">
      <c r="F51" s="4" t="s">
        <v>56</v>
      </c>
      <c r="G51" s="2" t="s">
        <v>16</v>
      </c>
      <c r="H51" s="3">
        <v>1410</v>
      </c>
    </row>
    <row r="52" spans="6:8" ht="24.95" customHeight="1" x14ac:dyDescent="0.25">
      <c r="F52" s="1" t="s">
        <v>57</v>
      </c>
      <c r="G52" s="2" t="s">
        <v>4</v>
      </c>
      <c r="H52" s="3">
        <v>770</v>
      </c>
    </row>
    <row r="53" spans="6:8" ht="24.95" customHeight="1" x14ac:dyDescent="0.25">
      <c r="F53" s="4" t="s">
        <v>58</v>
      </c>
      <c r="G53" s="2" t="s">
        <v>4</v>
      </c>
      <c r="H53" s="3">
        <v>2375</v>
      </c>
    </row>
    <row r="54" spans="6:8" ht="24.95" customHeight="1" x14ac:dyDescent="0.25">
      <c r="F54" s="4" t="s">
        <v>59</v>
      </c>
      <c r="G54" s="2" t="s">
        <v>4</v>
      </c>
      <c r="H54" s="3">
        <v>12855</v>
      </c>
    </row>
    <row r="55" spans="6:8" ht="24.95" customHeight="1" x14ac:dyDescent="0.25">
      <c r="F55" s="9" t="s">
        <v>60</v>
      </c>
      <c r="G55" s="2" t="s">
        <v>14</v>
      </c>
      <c r="H55" s="3">
        <v>6</v>
      </c>
    </row>
    <row r="56" spans="6:8" ht="24.95" customHeight="1" x14ac:dyDescent="0.25">
      <c r="F56" s="8" t="s">
        <v>61</v>
      </c>
      <c r="G56" s="2" t="s">
        <v>16</v>
      </c>
      <c r="H56" s="3">
        <v>1458</v>
      </c>
    </row>
    <row r="57" spans="6:8" ht="24.95" customHeight="1" x14ac:dyDescent="0.25">
      <c r="F57" s="4" t="s">
        <v>62</v>
      </c>
      <c r="G57" s="2" t="s">
        <v>4</v>
      </c>
      <c r="H57" s="3">
        <v>60</v>
      </c>
    </row>
    <row r="58" spans="6:8" ht="33" customHeight="1" x14ac:dyDescent="0.25">
      <c r="F58" s="4" t="s">
        <v>63</v>
      </c>
      <c r="G58" s="2" t="s">
        <v>14</v>
      </c>
      <c r="H58" s="3">
        <v>133</v>
      </c>
    </row>
    <row r="59" spans="6:8" ht="34.5" customHeight="1" x14ac:dyDescent="0.25">
      <c r="F59" s="4" t="s">
        <v>64</v>
      </c>
      <c r="G59" s="2" t="s">
        <v>14</v>
      </c>
      <c r="H59" s="3">
        <v>466</v>
      </c>
    </row>
    <row r="60" spans="6:8" ht="24.95" customHeight="1" x14ac:dyDescent="0.25">
      <c r="F60" s="4" t="s">
        <v>65</v>
      </c>
      <c r="G60" s="2" t="s">
        <v>4</v>
      </c>
      <c r="H60" s="3">
        <v>10541</v>
      </c>
    </row>
    <row r="61" spans="6:8" ht="24.95" customHeight="1" x14ac:dyDescent="0.25">
      <c r="F61" s="1" t="s">
        <v>66</v>
      </c>
      <c r="G61" s="2" t="s">
        <v>4</v>
      </c>
      <c r="H61" s="3">
        <v>371</v>
      </c>
    </row>
    <row r="62" spans="6:8" ht="24.95" customHeight="1" x14ac:dyDescent="0.25">
      <c r="F62" s="1" t="s">
        <v>67</v>
      </c>
      <c r="G62" s="2" t="s">
        <v>4</v>
      </c>
      <c r="H62" s="3">
        <v>301</v>
      </c>
    </row>
    <row r="63" spans="6:8" ht="24.95" customHeight="1" x14ac:dyDescent="0.25">
      <c r="F63" s="9" t="s">
        <v>68</v>
      </c>
      <c r="G63" s="2" t="s">
        <v>4</v>
      </c>
      <c r="H63" s="3">
        <v>240</v>
      </c>
    </row>
    <row r="64" spans="6:8" ht="24.95" customHeight="1" x14ac:dyDescent="0.25">
      <c r="F64" s="9" t="s">
        <v>69</v>
      </c>
      <c r="G64" s="2" t="s">
        <v>4</v>
      </c>
      <c r="H64" s="3">
        <v>160</v>
      </c>
    </row>
    <row r="65" spans="6:8" ht="24.95" customHeight="1" x14ac:dyDescent="0.25">
      <c r="F65" s="9" t="s">
        <v>70</v>
      </c>
      <c r="G65" s="2" t="s">
        <v>14</v>
      </c>
      <c r="H65" s="3">
        <v>10</v>
      </c>
    </row>
    <row r="66" spans="6:8" ht="24.95" customHeight="1" x14ac:dyDescent="0.25">
      <c r="F66" s="1" t="s">
        <v>71</v>
      </c>
      <c r="G66" s="2" t="s">
        <v>4</v>
      </c>
      <c r="H66" s="3">
        <v>641</v>
      </c>
    </row>
    <row r="67" spans="6:8" ht="24.95" customHeight="1" x14ac:dyDescent="0.25">
      <c r="F67" s="6" t="s">
        <v>72</v>
      </c>
      <c r="G67" s="2" t="s">
        <v>4</v>
      </c>
      <c r="H67" s="3">
        <v>122</v>
      </c>
    </row>
    <row r="68" spans="6:8" ht="24.95" customHeight="1" x14ac:dyDescent="0.25">
      <c r="F68" s="4" t="s">
        <v>73</v>
      </c>
      <c r="G68" s="2" t="s">
        <v>4</v>
      </c>
      <c r="H68" s="3">
        <v>350</v>
      </c>
    </row>
    <row r="69" spans="6:8" ht="24.95" customHeight="1" x14ac:dyDescent="0.25">
      <c r="F69" s="9" t="s">
        <v>74</v>
      </c>
      <c r="G69" s="2" t="s">
        <v>4</v>
      </c>
      <c r="H69" s="3">
        <v>320</v>
      </c>
    </row>
    <row r="70" spans="6:8" ht="24.95" customHeight="1" x14ac:dyDescent="0.25">
      <c r="F70" s="10" t="s">
        <v>75</v>
      </c>
      <c r="G70" s="2" t="s">
        <v>16</v>
      </c>
      <c r="H70" s="3">
        <v>914</v>
      </c>
    </row>
    <row r="71" spans="6:8" ht="24.95" customHeight="1" x14ac:dyDescent="0.25">
      <c r="F71" s="1" t="s">
        <v>76</v>
      </c>
      <c r="G71" s="2" t="s">
        <v>4</v>
      </c>
      <c r="H71" s="3">
        <v>447</v>
      </c>
    </row>
    <row r="72" spans="6:8" ht="24.95" customHeight="1" x14ac:dyDescent="0.25">
      <c r="F72" s="9" t="s">
        <v>77</v>
      </c>
      <c r="G72" s="2" t="s">
        <v>4</v>
      </c>
      <c r="H72" s="3">
        <v>219</v>
      </c>
    </row>
    <row r="73" spans="6:8" ht="24.95" customHeight="1" x14ac:dyDescent="0.25">
      <c r="F73" s="6" t="s">
        <v>78</v>
      </c>
      <c r="G73" s="2" t="s">
        <v>4</v>
      </c>
      <c r="H73" s="3">
        <v>388</v>
      </c>
    </row>
    <row r="74" spans="6:8" ht="24.95" customHeight="1" x14ac:dyDescent="0.25">
      <c r="F74" s="11" t="s">
        <v>79</v>
      </c>
      <c r="G74" s="2" t="s">
        <v>16</v>
      </c>
      <c r="H74" s="3">
        <v>177096</v>
      </c>
    </row>
    <row r="75" spans="6:8" ht="24.95" customHeight="1" x14ac:dyDescent="0.25">
      <c r="F75" s="4" t="s">
        <v>80</v>
      </c>
      <c r="G75" s="2" t="s">
        <v>4</v>
      </c>
      <c r="H75" s="3">
        <v>4137</v>
      </c>
    </row>
    <row r="76" spans="6:8" ht="24.95" customHeight="1" x14ac:dyDescent="0.25">
      <c r="F76" s="4" t="s">
        <v>81</v>
      </c>
      <c r="G76" s="2" t="s">
        <v>4</v>
      </c>
      <c r="H76" s="3">
        <v>2427</v>
      </c>
    </row>
    <row r="77" spans="6:8" ht="24.95" customHeight="1" x14ac:dyDescent="0.25">
      <c r="F77" s="9" t="s">
        <v>82</v>
      </c>
      <c r="G77" s="2" t="s">
        <v>83</v>
      </c>
      <c r="H77" s="3">
        <v>41</v>
      </c>
    </row>
    <row r="78" spans="6:8" ht="24.95" customHeight="1" x14ac:dyDescent="0.25">
      <c r="F78" s="1" t="s">
        <v>84</v>
      </c>
      <c r="G78" s="2" t="s">
        <v>85</v>
      </c>
      <c r="H78" s="3">
        <v>65</v>
      </c>
    </row>
    <row r="79" spans="6:8" ht="24.95" customHeight="1" x14ac:dyDescent="0.25">
      <c r="F79" s="4" t="s">
        <v>86</v>
      </c>
      <c r="G79" s="2" t="s">
        <v>4</v>
      </c>
      <c r="H79" s="3">
        <v>1587</v>
      </c>
    </row>
    <row r="80" spans="6:8" ht="24.95" customHeight="1" x14ac:dyDescent="0.25">
      <c r="F80" s="6" t="s">
        <v>87</v>
      </c>
      <c r="G80" s="2" t="s">
        <v>4</v>
      </c>
      <c r="H80" s="3">
        <v>196</v>
      </c>
    </row>
    <row r="81" spans="6:8" ht="24.95" customHeight="1" x14ac:dyDescent="0.25">
      <c r="F81" s="5" t="s">
        <v>88</v>
      </c>
      <c r="G81" s="2" t="s">
        <v>34</v>
      </c>
      <c r="H81" s="3">
        <v>25</v>
      </c>
    </row>
    <row r="82" spans="6:8" ht="24.95" customHeight="1" x14ac:dyDescent="0.25">
      <c r="F82" s="4" t="s">
        <v>89</v>
      </c>
      <c r="G82" s="2" t="s">
        <v>4</v>
      </c>
      <c r="H82" s="3">
        <v>3550</v>
      </c>
    </row>
    <row r="83" spans="6:8" ht="24.95" customHeight="1" x14ac:dyDescent="0.25">
      <c r="F83" s="4" t="s">
        <v>90</v>
      </c>
      <c r="G83" s="2" t="s">
        <v>4</v>
      </c>
      <c r="H83" s="3">
        <v>2057</v>
      </c>
    </row>
    <row r="84" spans="6:8" ht="24.95" customHeight="1" x14ac:dyDescent="0.25">
      <c r="F84" s="4" t="s">
        <v>91</v>
      </c>
      <c r="G84" s="2" t="s">
        <v>4</v>
      </c>
      <c r="H84" s="3">
        <v>7560</v>
      </c>
    </row>
    <row r="85" spans="6:8" ht="24.95" customHeight="1" x14ac:dyDescent="0.25">
      <c r="F85" s="1" t="s">
        <v>92</v>
      </c>
      <c r="G85" s="2" t="s">
        <v>4</v>
      </c>
      <c r="H85" s="3">
        <v>200</v>
      </c>
    </row>
    <row r="86" spans="6:8" ht="24.95" customHeight="1" x14ac:dyDescent="0.25">
      <c r="F86" s="4" t="s">
        <v>93</v>
      </c>
      <c r="G86" s="2" t="s">
        <v>4</v>
      </c>
      <c r="H86" s="3">
        <v>1275</v>
      </c>
    </row>
    <row r="87" spans="6:8" ht="24.95" customHeight="1" x14ac:dyDescent="0.25">
      <c r="F87" s="1" t="s">
        <v>94</v>
      </c>
      <c r="G87" s="2" t="s">
        <v>14</v>
      </c>
      <c r="H87" s="3">
        <v>41</v>
      </c>
    </row>
    <row r="88" spans="6:8" ht="24.95" customHeight="1" x14ac:dyDescent="0.25">
      <c r="F88" s="1" t="s">
        <v>95</v>
      </c>
      <c r="G88" s="2" t="s">
        <v>4</v>
      </c>
      <c r="H88" s="3">
        <v>78</v>
      </c>
    </row>
    <row r="89" spans="6:8" ht="35.25" customHeight="1" x14ac:dyDescent="0.25">
      <c r="F89" s="4" t="s">
        <v>96</v>
      </c>
      <c r="G89" s="2" t="s">
        <v>97</v>
      </c>
      <c r="H89" s="3">
        <v>73</v>
      </c>
    </row>
    <row r="90" spans="6:8" ht="24.95" customHeight="1" x14ac:dyDescent="0.25">
      <c r="F90" s="4" t="s">
        <v>98</v>
      </c>
      <c r="G90" s="2" t="s">
        <v>97</v>
      </c>
      <c r="H90" s="3">
        <v>6</v>
      </c>
    </row>
    <row r="91" spans="6:8" ht="24.95" customHeight="1" x14ac:dyDescent="0.25">
      <c r="F91" s="7" t="s">
        <v>99</v>
      </c>
      <c r="G91" s="2" t="s">
        <v>4</v>
      </c>
      <c r="H91" s="3">
        <v>550</v>
      </c>
    </row>
    <row r="92" spans="6:8" ht="24.95" customHeight="1" x14ac:dyDescent="0.25">
      <c r="F92" s="1" t="s">
        <v>100</v>
      </c>
      <c r="G92" s="2" t="s">
        <v>4</v>
      </c>
      <c r="H92" s="3">
        <v>1285</v>
      </c>
    </row>
    <row r="93" spans="6:8" ht="24.95" customHeight="1" x14ac:dyDescent="0.25">
      <c r="F93" s="4" t="s">
        <v>101</v>
      </c>
      <c r="G93" s="2" t="s">
        <v>4</v>
      </c>
      <c r="H93" s="3">
        <v>730</v>
      </c>
    </row>
    <row r="94" spans="6:8" ht="24.95" customHeight="1" x14ac:dyDescent="0.25">
      <c r="F94" s="6" t="s">
        <v>102</v>
      </c>
      <c r="G94" s="2" t="s">
        <v>4</v>
      </c>
      <c r="H94" s="3">
        <v>22</v>
      </c>
    </row>
    <row r="95" spans="6:8" ht="24.95" customHeight="1" x14ac:dyDescent="0.25">
      <c r="F95" s="6" t="s">
        <v>103</v>
      </c>
      <c r="G95" s="2" t="s">
        <v>14</v>
      </c>
      <c r="H95" s="3">
        <v>59</v>
      </c>
    </row>
    <row r="96" spans="6:8" ht="24.95" customHeight="1" x14ac:dyDescent="0.25">
      <c r="F96" s="1" t="s">
        <v>104</v>
      </c>
      <c r="G96" s="2" t="s">
        <v>4</v>
      </c>
      <c r="H96" s="3">
        <v>2374</v>
      </c>
    </row>
    <row r="97" spans="6:8" ht="24.95" customHeight="1" x14ac:dyDescent="0.25">
      <c r="F97" s="1" t="s">
        <v>105</v>
      </c>
      <c r="G97" s="2" t="s">
        <v>14</v>
      </c>
      <c r="H97" s="3">
        <v>398</v>
      </c>
    </row>
    <row r="98" spans="6:8" ht="24.95" customHeight="1" x14ac:dyDescent="0.25">
      <c r="F98" s="4" t="s">
        <v>106</v>
      </c>
      <c r="G98" s="2" t="s">
        <v>4</v>
      </c>
      <c r="H98" s="3">
        <v>136</v>
      </c>
    </row>
    <row r="99" spans="6:8" ht="24.95" customHeight="1" x14ac:dyDescent="0.25">
      <c r="F99" s="4" t="s">
        <v>107</v>
      </c>
      <c r="G99" s="2" t="s">
        <v>4</v>
      </c>
      <c r="H99" s="3">
        <v>120</v>
      </c>
    </row>
    <row r="100" spans="6:8" ht="24.95" customHeight="1" x14ac:dyDescent="0.25">
      <c r="F100" s="8" t="s">
        <v>108</v>
      </c>
      <c r="G100" s="2" t="s">
        <v>4</v>
      </c>
      <c r="H100" s="3">
        <v>98</v>
      </c>
    </row>
    <row r="101" spans="6:8" ht="24.95" customHeight="1" x14ac:dyDescent="0.25">
      <c r="F101" s="1" t="s">
        <v>109</v>
      </c>
      <c r="G101" s="2" t="s">
        <v>4</v>
      </c>
      <c r="H101" s="3">
        <v>59</v>
      </c>
    </row>
    <row r="102" spans="6:8" ht="24.95" customHeight="1" x14ac:dyDescent="0.25">
      <c r="F102" s="4" t="s">
        <v>110</v>
      </c>
      <c r="G102" s="2" t="s">
        <v>4</v>
      </c>
      <c r="H102" s="3">
        <v>46886</v>
      </c>
    </row>
    <row r="103" spans="6:8" ht="24.95" customHeight="1" x14ac:dyDescent="0.25">
      <c r="F103" s="7" t="s">
        <v>111</v>
      </c>
      <c r="G103" s="2" t="s">
        <v>4</v>
      </c>
      <c r="H103" s="3">
        <v>10</v>
      </c>
    </row>
    <row r="104" spans="6:8" ht="24.95" customHeight="1" x14ac:dyDescent="0.25">
      <c r="F104" s="4" t="s">
        <v>112</v>
      </c>
      <c r="G104" s="2" t="s">
        <v>4</v>
      </c>
      <c r="H104" s="3">
        <v>17900</v>
      </c>
    </row>
    <row r="105" spans="6:8" ht="24.95" customHeight="1" x14ac:dyDescent="0.25">
      <c r="F105" s="6" t="s">
        <v>113</v>
      </c>
      <c r="G105" s="2" t="s">
        <v>4</v>
      </c>
      <c r="H105" s="3">
        <v>11663</v>
      </c>
    </row>
    <row r="106" spans="6:8" ht="24.95" customHeight="1" x14ac:dyDescent="0.25">
      <c r="F106" s="1" t="s">
        <v>114</v>
      </c>
      <c r="G106" s="2" t="s">
        <v>4</v>
      </c>
      <c r="H106" s="3">
        <v>64920</v>
      </c>
    </row>
    <row r="107" spans="6:8" ht="24.95" customHeight="1" x14ac:dyDescent="0.25">
      <c r="F107" s="1" t="s">
        <v>114</v>
      </c>
      <c r="G107" s="2" t="s">
        <v>4</v>
      </c>
      <c r="H107" s="3">
        <v>4460</v>
      </c>
    </row>
    <row r="108" spans="6:8" ht="24.95" customHeight="1" x14ac:dyDescent="0.25">
      <c r="F108" s="1" t="s">
        <v>115</v>
      </c>
      <c r="G108" s="2" t="s">
        <v>4</v>
      </c>
      <c r="H108" s="3">
        <v>1270</v>
      </c>
    </row>
    <row r="109" spans="6:8" ht="24.95" customHeight="1" x14ac:dyDescent="0.25">
      <c r="F109" s="5" t="s">
        <v>116</v>
      </c>
      <c r="G109" s="2" t="s">
        <v>4</v>
      </c>
      <c r="H109" s="3">
        <v>377</v>
      </c>
    </row>
    <row r="110" spans="6:8" ht="24.95" customHeight="1" x14ac:dyDescent="0.25">
      <c r="F110" s="1" t="s">
        <v>117</v>
      </c>
      <c r="G110" s="2" t="s">
        <v>14</v>
      </c>
      <c r="H110" s="3">
        <v>66</v>
      </c>
    </row>
    <row r="111" spans="6:8" ht="24.95" customHeight="1" x14ac:dyDescent="0.25">
      <c r="F111" s="1" t="s">
        <v>118</v>
      </c>
      <c r="G111" s="2" t="s">
        <v>4</v>
      </c>
      <c r="H111" s="3">
        <v>4864</v>
      </c>
    </row>
    <row r="112" spans="6:8" ht="24.95" customHeight="1" x14ac:dyDescent="0.25">
      <c r="F112" s="4" t="s">
        <v>119</v>
      </c>
      <c r="G112" s="2" t="s">
        <v>4</v>
      </c>
      <c r="H112" s="3">
        <v>29895</v>
      </c>
    </row>
    <row r="113" spans="6:8" ht="24.95" customHeight="1" x14ac:dyDescent="0.25">
      <c r="F113" s="1" t="s">
        <v>120</v>
      </c>
      <c r="G113" s="2" t="s">
        <v>4</v>
      </c>
      <c r="H113" s="3">
        <v>30</v>
      </c>
    </row>
    <row r="114" spans="6:8" ht="24.95" customHeight="1" x14ac:dyDescent="0.25">
      <c r="F114" s="4" t="s">
        <v>121</v>
      </c>
      <c r="G114" s="2" t="s">
        <v>4</v>
      </c>
      <c r="H114" s="3">
        <v>1601</v>
      </c>
    </row>
    <row r="115" spans="6:8" ht="24.95" customHeight="1" x14ac:dyDescent="0.25">
      <c r="F115" s="6" t="s">
        <v>122</v>
      </c>
      <c r="G115" s="2" t="s">
        <v>4</v>
      </c>
      <c r="H115" s="3">
        <v>405</v>
      </c>
    </row>
    <row r="116" spans="6:8" ht="24.95" customHeight="1" x14ac:dyDescent="0.25">
      <c r="F116" s="6" t="s">
        <v>123</v>
      </c>
      <c r="G116" s="2" t="s">
        <v>14</v>
      </c>
      <c r="H116" s="3">
        <v>3</v>
      </c>
    </row>
    <row r="117" spans="6:8" ht="24.95" customHeight="1" x14ac:dyDescent="0.25">
      <c r="F117" s="7" t="s">
        <v>124</v>
      </c>
      <c r="G117" s="2" t="s">
        <v>4</v>
      </c>
      <c r="H117" s="3">
        <v>970</v>
      </c>
    </row>
    <row r="118" spans="6:8" ht="24.95" customHeight="1" x14ac:dyDescent="0.25">
      <c r="F118" s="7" t="s">
        <v>125</v>
      </c>
      <c r="G118" s="2" t="s">
        <v>4</v>
      </c>
      <c r="H118" s="3">
        <v>2629</v>
      </c>
    </row>
    <row r="119" spans="6:8" ht="24.95" customHeight="1" x14ac:dyDescent="0.25">
      <c r="F119" s="5" t="s">
        <v>126</v>
      </c>
      <c r="G119" s="2" t="s">
        <v>14</v>
      </c>
      <c r="H119" s="3">
        <v>44</v>
      </c>
    </row>
    <row r="120" spans="6:8" ht="24.95" customHeight="1" x14ac:dyDescent="0.25">
      <c r="F120" s="8" t="s">
        <v>127</v>
      </c>
      <c r="G120" s="2" t="s">
        <v>4</v>
      </c>
      <c r="H120" s="3">
        <v>1203</v>
      </c>
    </row>
    <row r="121" spans="6:8" ht="24.95" customHeight="1" x14ac:dyDescent="0.25">
      <c r="F121" s="1" t="s">
        <v>128</v>
      </c>
      <c r="G121" s="2" t="s">
        <v>4</v>
      </c>
      <c r="H121" s="3">
        <v>154</v>
      </c>
    </row>
    <row r="122" spans="6:8" ht="24.95" customHeight="1" x14ac:dyDescent="0.25">
      <c r="F122" s="4" t="s">
        <v>129</v>
      </c>
      <c r="G122" s="2" t="s">
        <v>4</v>
      </c>
      <c r="H122" s="3">
        <v>10500</v>
      </c>
    </row>
    <row r="123" spans="6:8" ht="24.95" customHeight="1" x14ac:dyDescent="0.25">
      <c r="F123" s="4" t="s">
        <v>130</v>
      </c>
      <c r="G123" s="2" t="s">
        <v>14</v>
      </c>
      <c r="H123" s="3">
        <v>34</v>
      </c>
    </row>
    <row r="124" spans="6:8" ht="24.95" customHeight="1" x14ac:dyDescent="0.25">
      <c r="F124" s="4" t="s">
        <v>131</v>
      </c>
      <c r="G124" s="2" t="s">
        <v>4</v>
      </c>
      <c r="H124" s="3">
        <v>414</v>
      </c>
    </row>
    <row r="125" spans="6:8" ht="24.95" customHeight="1" x14ac:dyDescent="0.25">
      <c r="F125" s="1" t="s">
        <v>132</v>
      </c>
      <c r="G125" s="2" t="s">
        <v>4</v>
      </c>
      <c r="H125" s="3">
        <v>300</v>
      </c>
    </row>
    <row r="126" spans="6:8" ht="24.95" customHeight="1" x14ac:dyDescent="0.25">
      <c r="F126" s="4" t="s">
        <v>133</v>
      </c>
      <c r="G126" s="2" t="s">
        <v>4</v>
      </c>
      <c r="H126" s="3">
        <v>2599</v>
      </c>
    </row>
    <row r="127" spans="6:8" ht="24.95" customHeight="1" x14ac:dyDescent="0.25">
      <c r="F127" s="5" t="s">
        <v>134</v>
      </c>
      <c r="G127" s="2" t="s">
        <v>4</v>
      </c>
      <c r="H127" s="3">
        <v>512</v>
      </c>
    </row>
    <row r="128" spans="6:8" ht="24.95" customHeight="1" x14ac:dyDescent="0.25">
      <c r="F128" s="4" t="s">
        <v>135</v>
      </c>
      <c r="G128" s="2" t="s">
        <v>4</v>
      </c>
      <c r="H128" s="3">
        <v>6262</v>
      </c>
    </row>
    <row r="129" spans="6:8" ht="24.95" customHeight="1" x14ac:dyDescent="0.25">
      <c r="F129" s="5" t="s">
        <v>136</v>
      </c>
      <c r="G129" s="2" t="s">
        <v>137</v>
      </c>
      <c r="H129" s="3">
        <v>928</v>
      </c>
    </row>
    <row r="130" spans="6:8" ht="24.95" customHeight="1" x14ac:dyDescent="0.25">
      <c r="F130" s="6" t="s">
        <v>138</v>
      </c>
      <c r="G130" s="2" t="s">
        <v>14</v>
      </c>
      <c r="H130" s="3">
        <v>323</v>
      </c>
    </row>
    <row r="131" spans="6:8" ht="24.95" customHeight="1" x14ac:dyDescent="0.25">
      <c r="F131" s="1" t="s">
        <v>139</v>
      </c>
      <c r="G131" s="2" t="s">
        <v>14</v>
      </c>
      <c r="H131" s="3">
        <v>342</v>
      </c>
    </row>
    <row r="132" spans="6:8" ht="24.95" customHeight="1" x14ac:dyDescent="0.25">
      <c r="F132" s="4" t="s">
        <v>140</v>
      </c>
      <c r="G132" s="2" t="s">
        <v>4</v>
      </c>
      <c r="H132" s="3">
        <v>365</v>
      </c>
    </row>
    <row r="133" spans="6:8" ht="24.95" customHeight="1" x14ac:dyDescent="0.25">
      <c r="F133" s="6" t="s">
        <v>141</v>
      </c>
      <c r="G133" s="2" t="s">
        <v>4</v>
      </c>
      <c r="H133" s="3">
        <v>2845</v>
      </c>
    </row>
    <row r="134" spans="6:8" ht="24.95" customHeight="1" x14ac:dyDescent="0.25">
      <c r="F134" s="1" t="s">
        <v>142</v>
      </c>
      <c r="G134" s="2" t="s">
        <v>4</v>
      </c>
      <c r="H134" s="3">
        <v>167</v>
      </c>
    </row>
    <row r="135" spans="6:8" ht="24.95" customHeight="1" x14ac:dyDescent="0.25">
      <c r="F135" s="5" t="s">
        <v>143</v>
      </c>
      <c r="G135" s="2" t="s">
        <v>4</v>
      </c>
      <c r="H135" s="3">
        <v>70</v>
      </c>
    </row>
    <row r="136" spans="6:8" ht="24.95" customHeight="1" x14ac:dyDescent="0.25">
      <c r="F136" s="4" t="s">
        <v>144</v>
      </c>
      <c r="G136" s="2" t="s">
        <v>4</v>
      </c>
      <c r="H136" s="3">
        <v>2340</v>
      </c>
    </row>
    <row r="137" spans="6:8" ht="24.95" customHeight="1" x14ac:dyDescent="0.25">
      <c r="F137" s="4" t="s">
        <v>145</v>
      </c>
      <c r="G137" s="2" t="s">
        <v>4</v>
      </c>
      <c r="H137" s="3">
        <v>2640</v>
      </c>
    </row>
    <row r="138" spans="6:8" ht="24.95" customHeight="1" x14ac:dyDescent="0.25">
      <c r="F138" s="4" t="s">
        <v>146</v>
      </c>
      <c r="G138" s="2" t="s">
        <v>4</v>
      </c>
      <c r="H138" s="3">
        <v>10200</v>
      </c>
    </row>
    <row r="139" spans="6:8" ht="24.95" customHeight="1" x14ac:dyDescent="0.25">
      <c r="F139" s="1" t="s">
        <v>147</v>
      </c>
      <c r="G139" s="2" t="s">
        <v>85</v>
      </c>
      <c r="H139" s="3">
        <v>705</v>
      </c>
    </row>
    <row r="140" spans="6:8" ht="24.95" customHeight="1" x14ac:dyDescent="0.25">
      <c r="F140" s="1" t="s">
        <v>148</v>
      </c>
      <c r="G140" s="2" t="s">
        <v>4</v>
      </c>
      <c r="H140" s="3">
        <v>30</v>
      </c>
    </row>
    <row r="141" spans="6:8" ht="24.95" customHeight="1" x14ac:dyDescent="0.25">
      <c r="F141" s="1" t="s">
        <v>149</v>
      </c>
      <c r="G141" s="2" t="s">
        <v>4</v>
      </c>
      <c r="H141" s="3">
        <v>678</v>
      </c>
    </row>
    <row r="142" spans="6:8" ht="24.95" customHeight="1" x14ac:dyDescent="0.25">
      <c r="F142" s="6" t="s">
        <v>150</v>
      </c>
      <c r="G142" s="2" t="s">
        <v>4</v>
      </c>
      <c r="H142" s="3">
        <v>132</v>
      </c>
    </row>
    <row r="143" spans="6:8" ht="24.95" customHeight="1" x14ac:dyDescent="0.25">
      <c r="F143" s="4" t="s">
        <v>151</v>
      </c>
      <c r="G143" s="2" t="s">
        <v>4</v>
      </c>
      <c r="H143" s="3">
        <v>7641</v>
      </c>
    </row>
    <row r="144" spans="6:8" ht="24.95" customHeight="1" x14ac:dyDescent="0.25">
      <c r="F144" s="6" t="s">
        <v>152</v>
      </c>
      <c r="G144" s="2" t="s">
        <v>34</v>
      </c>
      <c r="H144" s="3">
        <v>48</v>
      </c>
    </row>
    <row r="145" spans="6:8" ht="24.95" customHeight="1" x14ac:dyDescent="0.25">
      <c r="F145" s="6" t="s">
        <v>153</v>
      </c>
      <c r="G145" s="2" t="s">
        <v>4</v>
      </c>
      <c r="H145" s="3">
        <v>3280</v>
      </c>
    </row>
    <row r="146" spans="6:8" ht="24.95" customHeight="1" x14ac:dyDescent="0.25">
      <c r="F146" s="6" t="s">
        <v>154</v>
      </c>
      <c r="G146" s="2" t="s">
        <v>4</v>
      </c>
      <c r="H146" s="3">
        <v>1111</v>
      </c>
    </row>
    <row r="147" spans="6:8" ht="24.95" customHeight="1" x14ac:dyDescent="0.25">
      <c r="F147" s="4" t="s">
        <v>155</v>
      </c>
      <c r="G147" s="2" t="s">
        <v>4</v>
      </c>
      <c r="H147" s="3">
        <v>4410</v>
      </c>
    </row>
    <row r="148" spans="6:8" ht="24.95" customHeight="1" x14ac:dyDescent="0.25">
      <c r="F148" s="6" t="s">
        <v>156</v>
      </c>
      <c r="G148" s="2" t="s">
        <v>4</v>
      </c>
      <c r="H148" s="3">
        <v>170</v>
      </c>
    </row>
    <row r="149" spans="6:8" ht="24.95" customHeight="1" x14ac:dyDescent="0.25">
      <c r="F149" s="4" t="s">
        <v>157</v>
      </c>
      <c r="G149" s="2" t="s">
        <v>4</v>
      </c>
      <c r="H149" s="3">
        <v>10817</v>
      </c>
    </row>
    <row r="150" spans="6:8" ht="24.95" customHeight="1" x14ac:dyDescent="0.25">
      <c r="F150" s="4" t="s">
        <v>158</v>
      </c>
      <c r="G150" s="2" t="s">
        <v>4</v>
      </c>
      <c r="H150" s="3">
        <v>1890</v>
      </c>
    </row>
    <row r="151" spans="6:8" ht="24.95" customHeight="1" x14ac:dyDescent="0.25">
      <c r="F151" s="9" t="s">
        <v>159</v>
      </c>
      <c r="G151" s="2" t="s">
        <v>14</v>
      </c>
      <c r="H151" s="3">
        <v>2</v>
      </c>
    </row>
    <row r="152" spans="6:8" ht="24.95" customHeight="1" x14ac:dyDescent="0.25">
      <c r="F152" s="9" t="s">
        <v>160</v>
      </c>
      <c r="G152" s="2" t="s">
        <v>14</v>
      </c>
      <c r="H152" s="3">
        <v>16</v>
      </c>
    </row>
    <row r="153" spans="6:8" ht="24.95" customHeight="1" x14ac:dyDescent="0.25">
      <c r="F153" s="4" t="s">
        <v>161</v>
      </c>
      <c r="G153" s="2" t="s">
        <v>4</v>
      </c>
      <c r="H153" s="3">
        <v>4365</v>
      </c>
    </row>
    <row r="154" spans="6:8" ht="24.95" customHeight="1" x14ac:dyDescent="0.25">
      <c r="F154" s="4" t="s">
        <v>162</v>
      </c>
      <c r="G154" s="2" t="s">
        <v>14</v>
      </c>
      <c r="H154" s="3">
        <v>2</v>
      </c>
    </row>
    <row r="155" spans="6:8" ht="24.95" customHeight="1" x14ac:dyDescent="0.25">
      <c r="F155" s="12" t="s">
        <v>163</v>
      </c>
      <c r="G155" s="2" t="s">
        <v>164</v>
      </c>
      <c r="H155" s="3">
        <v>475</v>
      </c>
    </row>
    <row r="156" spans="6:8" ht="24.95" customHeight="1" x14ac:dyDescent="0.25">
      <c r="F156" s="4" t="s">
        <v>165</v>
      </c>
      <c r="G156" s="2" t="s">
        <v>4</v>
      </c>
      <c r="H156" s="3">
        <v>7500</v>
      </c>
    </row>
    <row r="157" spans="6:8" ht="24.95" customHeight="1" x14ac:dyDescent="0.25">
      <c r="F157" s="12" t="s">
        <v>166</v>
      </c>
      <c r="G157" s="2" t="s">
        <v>14</v>
      </c>
      <c r="H157" s="3">
        <v>165</v>
      </c>
    </row>
    <row r="158" spans="6:8" x14ac:dyDescent="0.25">
      <c r="F158" s="5"/>
      <c r="G158" s="13"/>
      <c r="H158" s="3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dcterms:created xsi:type="dcterms:W3CDTF">2026-09-19T07:39:14Z</dcterms:created>
  <dcterms:modified xsi:type="dcterms:W3CDTF">2026-09-19T07:44:31Z</dcterms:modified>
</cp:coreProperties>
</file>