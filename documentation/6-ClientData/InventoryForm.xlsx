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ds\documentation\6-ClientData\"/>
    </mc:Choice>
  </mc:AlternateContent>
  <xr:revisionPtr revIDLastSave="0" documentId="13_ncr:1_{7C50AC6D-24F6-4BE7-B855-D6D8D5EC4312}" xr6:coauthVersionLast="47" xr6:coauthVersionMax="47" xr10:uidLastSave="{00000000-0000-0000-0000-000000000000}"/>
  <bookViews>
    <workbookView xWindow="-120" yWindow="-120" windowWidth="20730" windowHeight="11760" xr2:uid="{D862993E-0E9F-42A3-984A-0DF957787C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9" i="1" l="1"/>
  <c r="K9" i="1"/>
  <c r="AE6" i="1"/>
  <c r="P6" i="1"/>
  <c r="Q6" i="1"/>
  <c r="R6" i="1" s="1"/>
  <c r="P7" i="1"/>
  <c r="Q7" i="1"/>
  <c r="U7" i="1" s="1"/>
  <c r="AE7" i="1"/>
  <c r="P8" i="1"/>
  <c r="T8" i="1" s="1"/>
  <c r="Q8" i="1"/>
  <c r="S9" i="1"/>
  <c r="W9" i="1"/>
  <c r="Z9" i="1"/>
  <c r="R7" i="1" l="1"/>
  <c r="R8" i="1"/>
  <c r="R9" i="1" s="1"/>
  <c r="T7" i="1"/>
  <c r="V7" i="1" s="1"/>
  <c r="T6" i="1"/>
  <c r="U6" i="1"/>
  <c r="U8" i="1"/>
  <c r="AF7" i="1"/>
  <c r="AG7" i="1" s="1"/>
  <c r="V6" i="1" l="1"/>
  <c r="AF6" i="1"/>
  <c r="AG6" i="1" s="1"/>
  <c r="V8" i="1"/>
  <c r="AF8" i="1"/>
  <c r="AG8" i="1" s="1"/>
  <c r="AG9" i="1" l="1"/>
  <c r="V9" i="1"/>
</calcChain>
</file>

<file path=xl/sharedStrings.xml><?xml version="1.0" encoding="utf-8"?>
<sst xmlns="http://schemas.openxmlformats.org/spreadsheetml/2006/main" count="57" uniqueCount="39">
  <si>
    <t>REPORT ON PHYSICAL COUNT OF INVENTORIES</t>
  </si>
  <si>
    <t>,</t>
  </si>
  <si>
    <t>VMCH MEDICINE SUPPLIES</t>
  </si>
  <si>
    <t>MONTH : JULY 31,2026</t>
  </si>
  <si>
    <t>BEGINNING BALANCE AS OF                                                         JUNE 30,2026</t>
  </si>
  <si>
    <t>ADDITIONAL STOCKS ; PROCURED ;  RETURNED MEDICINES FROM BARANGAY/MEDICS</t>
  </si>
  <si>
    <t>SUMMATION ( BEGINNING BALANCE + ADDITIONAL PURCHASES; RETURNED MEDS;DONATIONS)</t>
  </si>
  <si>
    <t>LESS ISSUANCES (PHARMACY DISPENSING &amp; BARANGAY CONSULTATION)</t>
  </si>
  <si>
    <t>TRANSFERRED TO OTHER PROGRAMS</t>
  </si>
  <si>
    <t>AREA/ PROGRAM</t>
  </si>
  <si>
    <t>EXPIRED</t>
  </si>
  <si>
    <t>REMAINING BALANCE  AS OF JULY 31 ,2026</t>
  </si>
  <si>
    <t>ITEM NO</t>
  </si>
  <si>
    <t>ITEM DESCRIPTION</t>
  </si>
  <si>
    <t>STANDARD UNIT OF MEASURE</t>
  </si>
  <si>
    <t>BRAND</t>
  </si>
  <si>
    <t>LOT NO</t>
  </si>
  <si>
    <t>EXPIRY DATE</t>
  </si>
  <si>
    <t>QUANTITY</t>
  </si>
  <si>
    <t>UNIT COST</t>
  </si>
  <si>
    <t>TOTAL COST</t>
  </si>
  <si>
    <t>DICYCLOVERINE 10 MG /5ML, 60 ML</t>
  </si>
  <si>
    <t>BOTTLE</t>
  </si>
  <si>
    <t>MYRENTYL</t>
  </si>
  <si>
    <t>ZMN073</t>
  </si>
  <si>
    <t>CHLORPROMAZINE 100 MG</t>
  </si>
  <si>
    <t>TABLET</t>
  </si>
  <si>
    <t>GLOBAZINE</t>
  </si>
  <si>
    <t>05GE23T01</t>
  </si>
  <si>
    <t>DONEPEZIL 10MG</t>
  </si>
  <si>
    <t>TORPEZIL 10</t>
  </si>
  <si>
    <t>BZ01K004</t>
  </si>
  <si>
    <t>TOTAL</t>
  </si>
  <si>
    <t xml:space="preserve">PREPARED BY: </t>
  </si>
  <si>
    <t xml:space="preserve">NOTED  BY: </t>
  </si>
  <si>
    <t>ROSEMIE ANN GETUTUA</t>
  </si>
  <si>
    <t>DR. CAMILLE F. PENALOSA</t>
  </si>
  <si>
    <t>Pharmacist</t>
  </si>
  <si>
    <t>City Health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</si>
</sst>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&quot;₱&quot;* #,##0.00_-;\-&quot;₱&quot;* #,##0.00_-;_-&quot;₱&quot;* &quot;-&quot;??_-;_-@_-"/>
    <numFmt numFmtId="165" formatCode="_-[$₱-3409]* #,##0.00_-;\-[$₱-3409]* #,##0.00_-;_-[$₱-3409]* &quot;-&quot;??_-;_-@_-"/>
    <numFmt numFmtId="166" formatCode="_(* #,##0_);_(* \(#,##0\);_(* &quot;-&quot;??_);_(@_)"/>
    <numFmt numFmtId="167" formatCode="&quot;₱&quot;#,##0.00"/>
    <numFmt numFmtId="168" formatCode="_-[$₱-3409]* #,##0.00_-;\-[$₱-3409]* #,##0.00_-;_-[$₱-3409]* &quot;-&quot;??_-;_-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rgb="FF002060"/>
      <name val="Amasis MT Pro Light"/>
      <family val="1"/>
    </font>
    <font>
      <sz val="8"/>
      <color rgb="FF002060"/>
      <name val="Amasis MT Pro Light"/>
      <family val="1"/>
    </font>
    <font>
      <sz val="9"/>
      <color rgb="FF002060"/>
      <name val="Amasis MT Pro Light"/>
      <family val="1"/>
    </font>
    <font>
      <b/>
      <sz val="6"/>
      <color rgb="FF002060"/>
      <name val="Amasis MT Pro Light"/>
      <family val="1"/>
    </font>
    <font>
      <sz val="6"/>
      <color rgb="FF002060"/>
      <name val="Amasis MT Pro Light"/>
      <family val="1"/>
    </font>
    <font>
      <b/>
      <sz val="9"/>
      <color rgb="FF002060"/>
      <name val="Amasis MT Pro Light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F2F2F2"/>
        <bgColor rgb="FFF2F2F2"/>
      </patternFill>
    </fill>
    <fill>
      <patternFill patternType="solid">
        <fgColor rgb="FFF4B083"/>
        <bgColor rgb="FFF4B083"/>
      </patternFill>
    </fill>
    <fill>
      <patternFill patternType="solid">
        <fgColor rgb="FFA8D08D"/>
        <bgColor rgb="FFA8D08D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CC2E5"/>
        <bgColor rgb="FF9CC2E5"/>
      </patternFill>
    </fill>
  </fills>
  <borders count="5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79">
    <xf numFmtId="0" fontId="0" fillId="0" borderId="0" xfId="0"/>
    <xf numFmtId="0" fontId="2" fillId="2" borderId="1" xfId="2" applyFont="1" applyFill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164" fontId="3" fillId="0" borderId="1" xfId="1" applyFont="1" applyBorder="1" applyAlignment="1">
      <alignment horizontal="center" vertical="center"/>
    </xf>
    <xf numFmtId="165" fontId="3" fillId="0" borderId="1" xfId="2" applyNumberFormat="1" applyFont="1" applyBorder="1" applyAlignment="1">
      <alignment horizontal="center" vertical="center"/>
    </xf>
    <xf numFmtId="165" fontId="3" fillId="0" borderId="1" xfId="2" applyNumberFormat="1" applyFont="1" applyBorder="1" applyAlignment="1">
      <alignment horizontal="right" vertical="center"/>
    </xf>
    <xf numFmtId="165" fontId="3" fillId="0" borderId="1" xfId="2" applyNumberFormat="1" applyFont="1" applyBorder="1" applyAlignment="1">
      <alignment vertical="center"/>
    </xf>
    <xf numFmtId="0" fontId="3" fillId="0" borderId="1" xfId="2" applyFont="1" applyBorder="1" applyAlignment="1">
      <alignment vertical="center"/>
    </xf>
    <xf numFmtId="0" fontId="3" fillId="4" borderId="1" xfId="2" applyFont="1" applyFill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165" fontId="3" fillId="3" borderId="1" xfId="2" applyNumberFormat="1" applyFont="1" applyFill="1" applyBorder="1" applyAlignment="1">
      <alignment vertical="center"/>
    </xf>
    <xf numFmtId="0" fontId="4" fillId="0" borderId="0" xfId="2" applyFont="1" applyAlignment="1">
      <alignment vertical="center"/>
    </xf>
    <xf numFmtId="1" fontId="4" fillId="0" borderId="0" xfId="2" applyNumberFormat="1" applyFont="1" applyAlignment="1">
      <alignment vertical="center"/>
    </xf>
    <xf numFmtId="43" fontId="3" fillId="0" borderId="1" xfId="2" applyNumberFormat="1" applyFont="1" applyBorder="1" applyAlignment="1">
      <alignment horizontal="center" vertical="center"/>
    </xf>
    <xf numFmtId="0" fontId="2" fillId="9" borderId="1" xfId="2" applyFont="1" applyFill="1" applyBorder="1" applyAlignment="1">
      <alignment vertical="center" wrapText="1"/>
    </xf>
    <xf numFmtId="0" fontId="5" fillId="3" borderId="1" xfId="2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vertical="center" wrapText="1"/>
    </xf>
    <xf numFmtId="0" fontId="6" fillId="3" borderId="1" xfId="2" applyFont="1" applyFill="1" applyBorder="1" applyAlignment="1">
      <alignment horizontal="center" vertical="center" wrapText="1"/>
    </xf>
    <xf numFmtId="164" fontId="5" fillId="3" borderId="1" xfId="1" applyFont="1" applyFill="1" applyBorder="1" applyAlignment="1">
      <alignment horizontal="center" vertical="center" wrapText="1"/>
    </xf>
    <xf numFmtId="165" fontId="5" fillId="3" borderId="1" xfId="2" applyNumberFormat="1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1" fontId="5" fillId="0" borderId="0" xfId="2" applyNumberFormat="1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3" fillId="3" borderId="1" xfId="2" applyFont="1" applyFill="1" applyBorder="1" applyAlignment="1">
      <alignment vertical="center" wrapText="1"/>
    </xf>
    <xf numFmtId="0" fontId="3" fillId="3" borderId="1" xfId="2" applyFont="1" applyFill="1" applyBorder="1" applyAlignment="1">
      <alignment horizontal="center" vertical="center" wrapText="1"/>
    </xf>
    <xf numFmtId="16" fontId="3" fillId="3" borderId="1" xfId="2" applyNumberFormat="1" applyFont="1" applyFill="1" applyBorder="1" applyAlignment="1">
      <alignment horizontal="center" vertical="center"/>
    </xf>
    <xf numFmtId="164" fontId="3" fillId="3" borderId="1" xfId="1" applyFont="1" applyFill="1" applyBorder="1" applyAlignment="1">
      <alignment vertical="center"/>
    </xf>
    <xf numFmtId="3" fontId="3" fillId="3" borderId="1" xfId="2" applyNumberFormat="1" applyFont="1" applyFill="1" applyBorder="1" applyAlignment="1">
      <alignment horizontal="center" vertical="center"/>
    </xf>
    <xf numFmtId="166" fontId="3" fillId="0" borderId="1" xfId="2" applyNumberFormat="1" applyFont="1" applyBorder="1" applyAlignment="1">
      <alignment horizontal="center" vertical="center"/>
    </xf>
    <xf numFmtId="0" fontId="3" fillId="3" borderId="1" xfId="2" applyFont="1" applyFill="1" applyBorder="1" applyAlignment="1">
      <alignment vertical="center"/>
    </xf>
    <xf numFmtId="167" fontId="3" fillId="3" borderId="1" xfId="2" applyNumberFormat="1" applyFont="1" applyFill="1" applyBorder="1" applyAlignment="1">
      <alignment vertical="center"/>
    </xf>
    <xf numFmtId="166" fontId="3" fillId="3" borderId="1" xfId="2" applyNumberFormat="1" applyFont="1" applyFill="1" applyBorder="1" applyAlignment="1">
      <alignment vertical="center"/>
    </xf>
    <xf numFmtId="166" fontId="3" fillId="3" borderId="1" xfId="2" applyNumberFormat="1" applyFont="1" applyFill="1" applyBorder="1" applyAlignment="1">
      <alignment horizontal="center" vertical="center"/>
    </xf>
    <xf numFmtId="165" fontId="4" fillId="0" borderId="0" xfId="2" applyNumberFormat="1" applyFont="1" applyAlignment="1">
      <alignment vertical="center"/>
    </xf>
    <xf numFmtId="1" fontId="4" fillId="2" borderId="0" xfId="2" applyNumberFormat="1" applyFont="1" applyFill="1" applyAlignment="1">
      <alignment vertical="center"/>
    </xf>
    <xf numFmtId="0" fontId="4" fillId="2" borderId="0" xfId="2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3" fontId="3" fillId="3" borderId="1" xfId="2" applyNumberFormat="1" applyFont="1" applyFill="1" applyBorder="1" applyAlignment="1">
      <alignment horizontal="center" vertical="center" wrapText="1"/>
    </xf>
    <xf numFmtId="165" fontId="2" fillId="3" borderId="1" xfId="2" applyNumberFormat="1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2" applyFont="1" applyBorder="1" applyAlignment="1">
      <alignment horizontal="left" vertical="center" wrapText="1"/>
    </xf>
    <xf numFmtId="16" fontId="3" fillId="0" borderId="1" xfId="0" applyNumberFormat="1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/>
    </xf>
    <xf numFmtId="164" fontId="2" fillId="0" borderId="1" xfId="1" applyFont="1" applyBorder="1" applyAlignment="1">
      <alignment horizontal="center" vertical="center"/>
    </xf>
    <xf numFmtId="0" fontId="7" fillId="0" borderId="0" xfId="2" applyFont="1" applyAlignment="1">
      <alignment vertical="center"/>
    </xf>
    <xf numFmtId="1" fontId="7" fillId="0" borderId="0" xfId="2" applyNumberFormat="1" applyFont="1" applyAlignment="1">
      <alignment vertical="center"/>
    </xf>
    <xf numFmtId="0" fontId="7" fillId="2" borderId="0" xfId="2" applyFont="1" applyFill="1" applyAlignment="1">
      <alignment horizontal="center" vertical="center"/>
    </xf>
    <xf numFmtId="0" fontId="7" fillId="0" borderId="0" xfId="2" applyFont="1" applyAlignment="1">
      <alignment horizontal="left" vertical="center" wrapText="1"/>
    </xf>
    <xf numFmtId="0" fontId="7" fillId="0" borderId="0" xfId="2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16" fontId="4" fillId="0" borderId="0" xfId="0" applyNumberFormat="1" applyFont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164" fontId="7" fillId="0" borderId="0" xfId="1" applyFont="1" applyBorder="1" applyAlignment="1">
      <alignment horizontal="center" vertical="center"/>
    </xf>
    <xf numFmtId="164" fontId="7" fillId="0" borderId="0" xfId="1" applyFont="1" applyFill="1" applyBorder="1" applyAlignment="1">
      <alignment horizontal="center" vertical="center"/>
    </xf>
    <xf numFmtId="168" fontId="7" fillId="3" borderId="0" xfId="2" applyNumberFormat="1" applyFont="1" applyFill="1" applyAlignment="1">
      <alignment vertical="center"/>
    </xf>
    <xf numFmtId="165" fontId="7" fillId="3" borderId="0" xfId="2" applyNumberFormat="1" applyFont="1" applyFill="1" applyAlignment="1">
      <alignment vertical="center"/>
    </xf>
    <xf numFmtId="165" fontId="7" fillId="0" borderId="0" xfId="2" applyNumberFormat="1" applyFont="1" applyAlignment="1">
      <alignment horizontal="center" vertical="center"/>
    </xf>
    <xf numFmtId="0" fontId="7" fillId="3" borderId="0" xfId="2" applyFont="1" applyFill="1" applyAlignment="1">
      <alignment horizontal="center" vertical="center"/>
    </xf>
    <xf numFmtId="164" fontId="7" fillId="0" borderId="0" xfId="1" applyFont="1" applyBorder="1"/>
    <xf numFmtId="0" fontId="7" fillId="0" borderId="0" xfId="2" applyFont="1" applyAlignment="1">
      <alignment horizontal="center"/>
    </xf>
    <xf numFmtId="0" fontId="7" fillId="0" borderId="0" xfId="2" applyFont="1"/>
    <xf numFmtId="0" fontId="7" fillId="2" borderId="0" xfId="2" applyFont="1" applyFill="1" applyAlignment="1">
      <alignment vertical="center"/>
    </xf>
    <xf numFmtId="1" fontId="7" fillId="2" borderId="0" xfId="2" applyNumberFormat="1" applyFont="1" applyFill="1" applyAlignment="1">
      <alignment vertical="center"/>
    </xf>
    <xf numFmtId="0" fontId="4" fillId="0" borderId="0" xfId="2" applyFont="1" applyBorder="1" applyAlignment="1">
      <alignment vertical="center"/>
    </xf>
    <xf numFmtId="0" fontId="5" fillId="0" borderId="0" xfId="2" applyFont="1" applyBorder="1" applyAlignment="1">
      <alignment horizontal="center" vertical="center"/>
    </xf>
    <xf numFmtId="0" fontId="4" fillId="2" borderId="0" xfId="2" applyFont="1" applyFill="1" applyBorder="1" applyAlignment="1">
      <alignment vertical="center"/>
    </xf>
    <xf numFmtId="0" fontId="5" fillId="2" borderId="0" xfId="2" applyFont="1" applyFill="1" applyAlignment="1">
      <alignment horizontal="center" vertical="center"/>
    </xf>
    <xf numFmtId="164" fontId="7" fillId="0" borderId="0" xfId="1" applyFont="1" applyBorder="1" applyAlignment="1">
      <alignment horizontal="left"/>
    </xf>
    <xf numFmtId="0" fontId="3" fillId="0" borderId="3" xfId="2" applyFont="1" applyBorder="1" applyAlignment="1">
      <alignment horizontal="left" vertical="center" wrapText="1"/>
    </xf>
    <xf numFmtId="0" fontId="3" fillId="0" borderId="4" xfId="2" applyFont="1" applyBorder="1" applyAlignment="1">
      <alignment horizontal="left" vertical="center" wrapText="1"/>
    </xf>
    <xf numFmtId="0" fontId="3" fillId="0" borderId="2" xfId="2" applyFont="1" applyBorder="1" applyAlignment="1">
      <alignment horizontal="left" vertical="center" wrapText="1"/>
    </xf>
    <xf numFmtId="0" fontId="2" fillId="8" borderId="1" xfId="2" applyFont="1" applyFill="1" applyBorder="1" applyAlignment="1">
      <alignment horizontal="center" vertical="center" wrapText="1"/>
    </xf>
    <xf numFmtId="0" fontId="3" fillId="0" borderId="1" xfId="2" applyFont="1" applyBorder="1" applyAlignment="1">
      <alignment vertical="center"/>
    </xf>
    <xf numFmtId="0" fontId="2" fillId="10" borderId="1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left" vertical="center"/>
    </xf>
    <xf numFmtId="43" fontId="2" fillId="0" borderId="1" xfId="2" applyNumberFormat="1" applyFont="1" applyBorder="1" applyAlignment="1">
      <alignment horizontal="center" vertical="center" wrapText="1"/>
    </xf>
    <xf numFmtId="0" fontId="2" fillId="5" borderId="1" xfId="2" applyFont="1" applyFill="1" applyBorder="1" applyAlignment="1">
      <alignment horizontal="center" vertical="center" wrapText="1"/>
    </xf>
    <xf numFmtId="0" fontId="2" fillId="6" borderId="1" xfId="2" applyFont="1" applyFill="1" applyBorder="1" applyAlignment="1">
      <alignment horizontal="center" vertical="center" wrapText="1"/>
    </xf>
    <xf numFmtId="0" fontId="2" fillId="7" borderId="1" xfId="2" applyFont="1" applyFill="1" applyBorder="1" applyAlignment="1">
      <alignment horizontal="center" vertical="center" wrapText="1"/>
    </xf>
  </cellXfs>
  <cellStyles count="3">
    <cellStyle name="Currency 2" xfId="1" xr:uid="{947D8E3D-FD59-4920-B4C7-A8A60A8F5BFE}"/>
    <cellStyle name="Normal" xfId="0" builtinId="0"/>
    <cellStyle name="Normal 2" xfId="2" xr:uid="{DF0C95B6-31DA-4FF2-8B74-B7287ECB4F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306C0-487F-43A6-8DCB-1BC2ACA4EC94}">
  <dimension ref="C2:AV18"/>
  <sheetViews>
    <sheetView tabSelected="1" zoomScaleNormal="100" workbookViewId="0">
      <selection activeCell="AF11" sqref="AF11"/>
    </sheetView>
  </sheetViews>
  <sheetFormatPr defaultRowHeight="15" x14ac:dyDescent="0.25"/>
  <cols>
    <col min="4" max="4" width="21.7109375" customWidth="1"/>
    <col min="6" max="6" width="14.85546875" customWidth="1"/>
    <col min="7" max="7" width="14.7109375" customWidth="1"/>
    <col min="8" max="8" width="15.140625" customWidth="1"/>
    <col min="9" max="9" width="10.42578125" customWidth="1"/>
    <col min="10" max="10" width="9.7109375" customWidth="1"/>
    <col min="11" max="11" width="11.42578125" bestFit="1" customWidth="1"/>
    <col min="12" max="12" width="9.85546875" customWidth="1"/>
    <col min="13" max="13" width="11.28515625" customWidth="1"/>
    <col min="18" max="18" width="11.42578125" bestFit="1" customWidth="1"/>
    <col min="22" max="22" width="10.7109375" bestFit="1" customWidth="1"/>
    <col min="27" max="27" width="12.28515625" customWidth="1"/>
    <col min="33" max="33" width="10.7109375" bestFit="1" customWidth="1"/>
    <col min="44" max="44" width="19" customWidth="1"/>
    <col min="45" max="45" width="16.7109375" customWidth="1"/>
  </cols>
  <sheetData>
    <row r="2" spans="3:48" x14ac:dyDescent="0.25">
      <c r="C2" s="1"/>
      <c r="D2" s="74" t="s">
        <v>0</v>
      </c>
      <c r="E2" s="72"/>
      <c r="F2" s="72"/>
      <c r="G2" s="2"/>
      <c r="H2" s="2"/>
      <c r="I2" s="2"/>
      <c r="J2" s="3"/>
      <c r="K2" s="3"/>
      <c r="L2" s="2"/>
      <c r="M2" s="4"/>
      <c r="N2" s="5"/>
      <c r="O2" s="5"/>
      <c r="P2" s="2"/>
      <c r="Q2" s="6"/>
      <c r="R2" s="6"/>
      <c r="S2" s="6"/>
      <c r="T2" s="2" t="s">
        <v>1</v>
      </c>
      <c r="U2" s="6"/>
      <c r="V2" s="6"/>
      <c r="W2" s="6"/>
      <c r="X2" s="7"/>
      <c r="Y2" s="7"/>
      <c r="Z2" s="7"/>
      <c r="AA2" s="7"/>
      <c r="AB2" s="8"/>
      <c r="AC2" s="8"/>
      <c r="AD2" s="8"/>
      <c r="AE2" s="9"/>
      <c r="AF2" s="6"/>
      <c r="AG2" s="10"/>
      <c r="AH2" s="11"/>
      <c r="AI2" s="12"/>
      <c r="AJ2" s="12"/>
      <c r="AK2" s="12"/>
      <c r="AL2" s="35"/>
      <c r="AM2" s="12"/>
      <c r="AN2" s="11"/>
      <c r="AO2" s="11"/>
      <c r="AP2" s="11"/>
      <c r="AQ2" s="11"/>
      <c r="AR2" s="11"/>
      <c r="AS2" s="35"/>
      <c r="AT2" s="11"/>
      <c r="AU2" s="11"/>
      <c r="AV2" s="11"/>
    </row>
    <row r="3" spans="3:48" x14ac:dyDescent="0.25">
      <c r="C3" s="1"/>
      <c r="D3" s="68" t="s">
        <v>2</v>
      </c>
      <c r="E3" s="69"/>
      <c r="F3" s="70"/>
      <c r="G3" s="2"/>
      <c r="H3" s="2"/>
      <c r="I3" s="13"/>
      <c r="J3" s="3"/>
      <c r="K3" s="3"/>
      <c r="L3" s="2"/>
      <c r="M3" s="4"/>
      <c r="N3" s="5"/>
      <c r="O3" s="5"/>
      <c r="P3" s="2"/>
      <c r="Q3" s="6"/>
      <c r="R3" s="6"/>
      <c r="S3" s="6"/>
      <c r="T3" s="2"/>
      <c r="U3" s="6"/>
      <c r="V3" s="6"/>
      <c r="W3" s="6"/>
      <c r="X3" s="7"/>
      <c r="Y3" s="7"/>
      <c r="Z3" s="7"/>
      <c r="AA3" s="7"/>
      <c r="AB3" s="8"/>
      <c r="AC3" s="8"/>
      <c r="AD3" s="8"/>
      <c r="AE3" s="9"/>
      <c r="AF3" s="6"/>
      <c r="AG3" s="10"/>
      <c r="AH3" s="11"/>
      <c r="AI3" s="12"/>
      <c r="AJ3" s="12"/>
      <c r="AK3" s="12"/>
      <c r="AL3" s="35"/>
      <c r="AM3" s="12"/>
      <c r="AN3" s="11"/>
      <c r="AO3" s="11"/>
      <c r="AP3" s="11"/>
      <c r="AQ3" s="11"/>
      <c r="AR3" s="11"/>
      <c r="AS3" s="35"/>
      <c r="AT3" s="11"/>
      <c r="AU3" s="11"/>
      <c r="AV3" s="11"/>
    </row>
    <row r="4" spans="3:48" ht="22.5" x14ac:dyDescent="0.25">
      <c r="C4" s="1"/>
      <c r="D4" s="75" t="s">
        <v>3</v>
      </c>
      <c r="E4" s="72"/>
      <c r="F4" s="72"/>
      <c r="G4" s="72"/>
      <c r="H4" s="72"/>
      <c r="I4" s="76" t="s">
        <v>4</v>
      </c>
      <c r="J4" s="72"/>
      <c r="K4" s="72"/>
      <c r="L4" s="77" t="s">
        <v>5</v>
      </c>
      <c r="M4" s="72"/>
      <c r="N4" s="72"/>
      <c r="O4" s="7"/>
      <c r="P4" s="78" t="s">
        <v>6</v>
      </c>
      <c r="Q4" s="72"/>
      <c r="R4" s="72"/>
      <c r="S4" s="7"/>
      <c r="T4" s="71" t="s">
        <v>7</v>
      </c>
      <c r="U4" s="72"/>
      <c r="V4" s="72"/>
      <c r="W4" s="7"/>
      <c r="X4" s="71" t="s">
        <v>8</v>
      </c>
      <c r="Y4" s="72"/>
      <c r="Z4" s="72"/>
      <c r="AA4" s="14" t="s">
        <v>9</v>
      </c>
      <c r="AB4" s="71" t="s">
        <v>10</v>
      </c>
      <c r="AC4" s="72"/>
      <c r="AD4" s="72"/>
      <c r="AE4" s="73" t="s">
        <v>11</v>
      </c>
      <c r="AF4" s="72"/>
      <c r="AG4" s="72"/>
      <c r="AH4" s="63"/>
      <c r="AI4" s="12"/>
      <c r="AJ4" s="12"/>
      <c r="AK4" s="12"/>
      <c r="AL4" s="35"/>
      <c r="AM4" s="12"/>
      <c r="AN4" s="11"/>
      <c r="AO4" s="11"/>
      <c r="AP4" s="11"/>
      <c r="AQ4" s="11"/>
      <c r="AR4" s="11"/>
      <c r="AS4" s="35"/>
      <c r="AT4" s="11"/>
      <c r="AU4" s="11"/>
      <c r="AV4" s="11"/>
    </row>
    <row r="5" spans="3:48" ht="24.75" x14ac:dyDescent="0.25">
      <c r="C5" s="15" t="s">
        <v>12</v>
      </c>
      <c r="D5" s="15" t="s">
        <v>13</v>
      </c>
      <c r="E5" s="16" t="s">
        <v>14</v>
      </c>
      <c r="F5" s="17" t="s">
        <v>15</v>
      </c>
      <c r="G5" s="17" t="s">
        <v>16</v>
      </c>
      <c r="H5" s="17" t="s">
        <v>17</v>
      </c>
      <c r="I5" s="17" t="s">
        <v>18</v>
      </c>
      <c r="J5" s="18" t="s">
        <v>19</v>
      </c>
      <c r="K5" s="18" t="s">
        <v>20</v>
      </c>
      <c r="L5" s="15" t="s">
        <v>18</v>
      </c>
      <c r="M5" s="19" t="s">
        <v>19</v>
      </c>
      <c r="N5" s="19" t="s">
        <v>20</v>
      </c>
      <c r="O5" s="19"/>
      <c r="P5" s="15" t="s">
        <v>18</v>
      </c>
      <c r="Q5" s="19" t="s">
        <v>19</v>
      </c>
      <c r="R5" s="19" t="s">
        <v>20</v>
      </c>
      <c r="S5" s="19"/>
      <c r="T5" s="20"/>
      <c r="U5" s="19" t="s">
        <v>19</v>
      </c>
      <c r="V5" s="19" t="s">
        <v>20</v>
      </c>
      <c r="W5" s="19"/>
      <c r="X5" s="15" t="s">
        <v>18</v>
      </c>
      <c r="Y5" s="15" t="s">
        <v>19</v>
      </c>
      <c r="Z5" s="15" t="s">
        <v>20</v>
      </c>
      <c r="AA5" s="15"/>
      <c r="AB5" s="15" t="s">
        <v>18</v>
      </c>
      <c r="AC5" s="15" t="s">
        <v>19</v>
      </c>
      <c r="AD5" s="15" t="s">
        <v>20</v>
      </c>
      <c r="AE5" s="15" t="s">
        <v>18</v>
      </c>
      <c r="AF5" s="19" t="s">
        <v>19</v>
      </c>
      <c r="AG5" s="19" t="s">
        <v>20</v>
      </c>
      <c r="AH5" s="64"/>
      <c r="AI5" s="21"/>
      <c r="AJ5" s="21"/>
      <c r="AK5" s="21"/>
      <c r="AL5" s="66"/>
      <c r="AM5" s="21"/>
      <c r="AN5" s="22"/>
      <c r="AO5" s="22"/>
      <c r="AP5" s="22"/>
      <c r="AQ5" s="22"/>
      <c r="AR5" s="22"/>
      <c r="AS5" s="66"/>
      <c r="AT5" s="22"/>
      <c r="AU5" s="22"/>
      <c r="AV5" s="22"/>
    </row>
    <row r="6" spans="3:48" ht="45" x14ac:dyDescent="0.25">
      <c r="C6" s="9">
        <v>1</v>
      </c>
      <c r="D6" s="23" t="s">
        <v>21</v>
      </c>
      <c r="E6" s="23" t="s">
        <v>22</v>
      </c>
      <c r="F6" s="24" t="s">
        <v>23</v>
      </c>
      <c r="G6" s="9" t="s">
        <v>24</v>
      </c>
      <c r="H6" s="25">
        <v>46017</v>
      </c>
      <c r="I6" s="9">
        <v>52</v>
      </c>
      <c r="J6" s="26">
        <v>35</v>
      </c>
      <c r="K6" s="26">
        <v>1820</v>
      </c>
      <c r="L6" s="27"/>
      <c r="M6" s="10"/>
      <c r="N6" s="10"/>
      <c r="O6" s="10"/>
      <c r="P6" s="27">
        <f>L6+I6</f>
        <v>52</v>
      </c>
      <c r="Q6" s="10">
        <f>J6+M6</f>
        <v>35</v>
      </c>
      <c r="R6" s="10">
        <f>Q6*P6</f>
        <v>1820</v>
      </c>
      <c r="S6" s="10"/>
      <c r="T6" s="28">
        <f>P6-(X6+AE6)</f>
        <v>52</v>
      </c>
      <c r="U6" s="10">
        <f>Q6</f>
        <v>35</v>
      </c>
      <c r="V6" s="10">
        <f>U6*T6</f>
        <v>1820</v>
      </c>
      <c r="W6" s="10"/>
      <c r="X6" s="29"/>
      <c r="Y6" s="30"/>
      <c r="Z6" s="30"/>
      <c r="AA6" s="30"/>
      <c r="AB6" s="31"/>
      <c r="AC6" s="30"/>
      <c r="AD6" s="29"/>
      <c r="AE6" s="32">
        <f>AR6+AS6</f>
        <v>0</v>
      </c>
      <c r="AF6" s="10">
        <f>U6</f>
        <v>35</v>
      </c>
      <c r="AG6" s="10">
        <f>AF6*AE6</f>
        <v>0</v>
      </c>
      <c r="AH6" s="63"/>
      <c r="AI6" s="12"/>
      <c r="AJ6" s="12"/>
      <c r="AK6" s="12"/>
      <c r="AL6" s="35"/>
      <c r="AM6" s="12"/>
      <c r="AN6" s="11"/>
      <c r="AO6" s="33"/>
      <c r="AP6" s="11"/>
      <c r="AQ6" s="33"/>
      <c r="AR6" s="11"/>
      <c r="AS6" s="35"/>
      <c r="AT6" s="11"/>
      <c r="AU6" s="11"/>
      <c r="AV6" s="11"/>
    </row>
    <row r="7" spans="3:48" ht="33.75" x14ac:dyDescent="0.25">
      <c r="C7" s="9">
        <v>2</v>
      </c>
      <c r="D7" s="23" t="s">
        <v>25</v>
      </c>
      <c r="E7" s="23" t="s">
        <v>26</v>
      </c>
      <c r="F7" s="24" t="s">
        <v>27</v>
      </c>
      <c r="G7" s="9" t="s">
        <v>28</v>
      </c>
      <c r="H7" s="25">
        <v>45684</v>
      </c>
      <c r="I7" s="9">
        <v>1670</v>
      </c>
      <c r="J7" s="26">
        <v>3.75</v>
      </c>
      <c r="K7" s="26">
        <v>6262.5</v>
      </c>
      <c r="L7" s="27"/>
      <c r="M7" s="10"/>
      <c r="N7" s="10"/>
      <c r="O7" s="10"/>
      <c r="P7" s="27">
        <f>L7+I7</f>
        <v>1670</v>
      </c>
      <c r="Q7" s="10">
        <f>J7+M7</f>
        <v>3.75</v>
      </c>
      <c r="R7" s="10">
        <f>Q7*P7</f>
        <v>6262.5</v>
      </c>
      <c r="S7" s="10"/>
      <c r="T7" s="28">
        <f>P7-(X7+AE7)</f>
        <v>1670</v>
      </c>
      <c r="U7" s="10">
        <f>Q7</f>
        <v>3.75</v>
      </c>
      <c r="V7" s="10">
        <f>U7*T7</f>
        <v>6262.5</v>
      </c>
      <c r="W7" s="10"/>
      <c r="X7" s="29"/>
      <c r="Y7" s="30"/>
      <c r="Z7" s="30"/>
      <c r="AA7" s="30"/>
      <c r="AB7" s="31"/>
      <c r="AC7" s="30"/>
      <c r="AD7" s="29"/>
      <c r="AE7" s="32">
        <f>AR7+AS7</f>
        <v>0</v>
      </c>
      <c r="AF7" s="10">
        <f>U7</f>
        <v>3.75</v>
      </c>
      <c r="AG7" s="10">
        <f>AF7*AE7</f>
        <v>0</v>
      </c>
      <c r="AH7" s="63"/>
      <c r="AI7" s="12"/>
      <c r="AJ7" s="12"/>
      <c r="AK7" s="12"/>
      <c r="AL7" s="35"/>
      <c r="AM7" s="12"/>
      <c r="AN7" s="11"/>
      <c r="AO7" s="33"/>
      <c r="AP7" s="11"/>
      <c r="AQ7" s="33"/>
      <c r="AR7" s="11"/>
      <c r="AS7" s="35"/>
      <c r="AT7" s="11"/>
      <c r="AU7" s="11"/>
      <c r="AV7" s="11"/>
    </row>
    <row r="8" spans="3:48" x14ac:dyDescent="0.25">
      <c r="C8" s="9">
        <v>3</v>
      </c>
      <c r="D8" s="23" t="s">
        <v>29</v>
      </c>
      <c r="E8" s="23" t="s">
        <v>26</v>
      </c>
      <c r="F8" s="24" t="s">
        <v>30</v>
      </c>
      <c r="G8" s="9" t="s">
        <v>31</v>
      </c>
      <c r="H8" s="25">
        <v>45835</v>
      </c>
      <c r="I8" s="9">
        <v>200</v>
      </c>
      <c r="J8" s="26">
        <v>34.979999999999997</v>
      </c>
      <c r="K8" s="26">
        <v>6995.9999999999991</v>
      </c>
      <c r="L8" s="27"/>
      <c r="M8" s="10"/>
      <c r="N8" s="10"/>
      <c r="O8" s="10"/>
      <c r="P8" s="27">
        <f>L8+I8</f>
        <v>200</v>
      </c>
      <c r="Q8" s="10">
        <f>J8+M8</f>
        <v>34.979999999999997</v>
      </c>
      <c r="R8" s="10">
        <f>Q8*P8</f>
        <v>6995.9999999999991</v>
      </c>
      <c r="S8" s="10"/>
      <c r="T8" s="28">
        <f>P8-(X8+AE8)</f>
        <v>200</v>
      </c>
      <c r="U8" s="10">
        <f>Q8</f>
        <v>34.979999999999997</v>
      </c>
      <c r="V8" s="10">
        <f>U8*T8</f>
        <v>6995.9999999999991</v>
      </c>
      <c r="W8" s="10"/>
      <c r="X8" s="29"/>
      <c r="Y8" s="30"/>
      <c r="Z8" s="30"/>
      <c r="AA8" s="30"/>
      <c r="AB8" s="31"/>
      <c r="AC8" s="30"/>
      <c r="AD8" s="29"/>
      <c r="AE8" s="32">
        <v>0</v>
      </c>
      <c r="AF8" s="10">
        <f>U8</f>
        <v>34.979999999999997</v>
      </c>
      <c r="AG8" s="10">
        <f>AF8*AE8</f>
        <v>0</v>
      </c>
      <c r="AH8" s="65"/>
      <c r="AI8" s="34"/>
      <c r="AJ8" s="34"/>
      <c r="AK8" s="34"/>
      <c r="AL8" s="35"/>
      <c r="AM8" s="34"/>
      <c r="AN8" s="35"/>
      <c r="AO8" s="33"/>
      <c r="AP8" s="35"/>
      <c r="AQ8" s="33"/>
      <c r="AR8" s="35"/>
      <c r="AS8" s="35"/>
      <c r="AT8" s="35"/>
      <c r="AU8" s="35"/>
      <c r="AV8" s="35"/>
    </row>
    <row r="9" spans="3:48" x14ac:dyDescent="0.25">
      <c r="C9" s="1"/>
      <c r="D9" s="40" t="s">
        <v>32</v>
      </c>
      <c r="E9" s="37"/>
      <c r="F9" s="36"/>
      <c r="G9" s="39"/>
      <c r="H9" s="41"/>
      <c r="I9" s="42"/>
      <c r="J9" s="43"/>
      <c r="K9" s="38">
        <f>SUM(K6:K8)</f>
        <v>15078.5</v>
      </c>
      <c r="L9" s="38"/>
      <c r="M9" s="38"/>
      <c r="N9" s="38" t="e">
        <f>SUM(#REF!)</f>
        <v>#REF!</v>
      </c>
      <c r="O9" s="38"/>
      <c r="P9" s="38"/>
      <c r="Q9" s="38"/>
      <c r="R9" s="38">
        <f>SUM(R6:R8)</f>
        <v>15078.5</v>
      </c>
      <c r="S9" s="38">
        <f>SUM(S6:S8)</f>
        <v>0</v>
      </c>
      <c r="T9" s="38"/>
      <c r="U9" s="38"/>
      <c r="V9" s="38">
        <f>SUM(V6:V8)</f>
        <v>15078.5</v>
      </c>
      <c r="W9" s="38">
        <f>SUM(W6:W8)</f>
        <v>0</v>
      </c>
      <c r="X9" s="38"/>
      <c r="Y9" s="38"/>
      <c r="Z9" s="38">
        <f>SUM(Z6:Z8)</f>
        <v>0</v>
      </c>
      <c r="AA9" s="38"/>
      <c r="AB9" s="38"/>
      <c r="AC9" s="38"/>
      <c r="AD9" s="38"/>
      <c r="AE9" s="38"/>
      <c r="AF9" s="38"/>
      <c r="AG9" s="38">
        <f>SUM(AG6:AG8)</f>
        <v>0</v>
      </c>
      <c r="AH9" s="44"/>
      <c r="AI9" s="45"/>
      <c r="AJ9" s="45"/>
      <c r="AK9" s="45"/>
      <c r="AL9" s="61"/>
      <c r="AM9" s="45"/>
      <c r="AN9" s="44"/>
      <c r="AO9" s="44"/>
      <c r="AP9" s="44"/>
      <c r="AQ9" s="33"/>
      <c r="AR9" s="44"/>
      <c r="AS9" s="61"/>
      <c r="AT9" s="44"/>
      <c r="AU9" s="44"/>
      <c r="AV9" s="44"/>
    </row>
    <row r="10" spans="3:48" x14ac:dyDescent="0.25">
      <c r="C10" s="46"/>
      <c r="D10" s="47"/>
      <c r="E10" s="48"/>
      <c r="F10" s="49"/>
      <c r="G10" s="49"/>
      <c r="H10" s="50"/>
      <c r="I10" s="51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3"/>
      <c r="U10" s="52"/>
      <c r="V10" s="52"/>
      <c r="W10" s="52"/>
      <c r="X10" s="54"/>
      <c r="Y10" s="54"/>
      <c r="Z10" s="54"/>
      <c r="AA10" s="54"/>
      <c r="AB10" s="54"/>
      <c r="AC10" s="54"/>
      <c r="AD10" s="55"/>
      <c r="AE10" s="55"/>
      <c r="AF10" s="55"/>
      <c r="AG10" s="55"/>
      <c r="AH10" s="44"/>
      <c r="AI10" s="45"/>
      <c r="AJ10" s="45"/>
      <c r="AK10" s="45"/>
      <c r="AL10" s="61"/>
      <c r="AM10" s="45"/>
      <c r="AN10" s="44"/>
      <c r="AO10" s="44"/>
      <c r="AP10" s="44"/>
      <c r="AQ10" s="44"/>
      <c r="AR10" s="44"/>
      <c r="AS10" s="61"/>
      <c r="AT10" s="44"/>
      <c r="AU10" s="44"/>
      <c r="AV10" s="44"/>
    </row>
    <row r="11" spans="3:48" x14ac:dyDescent="0.25">
      <c r="C11" s="46"/>
      <c r="D11" s="47"/>
      <c r="E11" s="48"/>
      <c r="F11" s="49"/>
      <c r="G11" s="49"/>
      <c r="H11" s="50"/>
      <c r="I11" s="51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3"/>
      <c r="U11" s="52"/>
      <c r="V11" s="52"/>
      <c r="W11" s="52"/>
      <c r="X11" s="54"/>
      <c r="Y11" s="54"/>
      <c r="Z11" s="54"/>
      <c r="AA11" s="54"/>
      <c r="AB11" s="54"/>
      <c r="AC11" s="54"/>
      <c r="AD11" s="55"/>
      <c r="AE11" s="55"/>
      <c r="AF11" s="55"/>
      <c r="AG11" s="55"/>
      <c r="AH11" s="44"/>
      <c r="AI11" s="45"/>
      <c r="AJ11" s="45"/>
      <c r="AK11" s="45"/>
      <c r="AL11" s="61"/>
      <c r="AM11" s="45"/>
      <c r="AN11" s="44"/>
      <c r="AO11" s="44"/>
      <c r="AP11" s="44"/>
      <c r="AQ11" s="44"/>
      <c r="AR11" s="44"/>
      <c r="AS11" s="61"/>
      <c r="AT11" s="44"/>
      <c r="AU11" s="44"/>
      <c r="AV11" s="44"/>
    </row>
    <row r="12" spans="3:48" x14ac:dyDescent="0.25">
      <c r="C12" s="46"/>
      <c r="D12" s="47"/>
      <c r="E12" s="48"/>
      <c r="F12" s="49"/>
      <c r="G12" s="49"/>
      <c r="H12" s="50"/>
      <c r="I12" s="51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3"/>
      <c r="U12" s="52"/>
      <c r="V12" s="52"/>
      <c r="W12" s="52"/>
      <c r="X12" s="54"/>
      <c r="Y12" s="54"/>
      <c r="Z12" s="54"/>
      <c r="AA12" s="54"/>
      <c r="AB12" s="54"/>
      <c r="AC12" s="54"/>
      <c r="AD12" s="55"/>
      <c r="AE12" s="55"/>
      <c r="AF12" s="55"/>
      <c r="AG12" s="55"/>
      <c r="AH12" s="44"/>
      <c r="AI12" s="45"/>
      <c r="AJ12" s="45"/>
      <c r="AK12" s="45"/>
      <c r="AL12" s="61"/>
      <c r="AM12" s="45"/>
      <c r="AN12" s="44"/>
      <c r="AO12" s="44"/>
      <c r="AP12" s="44"/>
      <c r="AQ12" s="44"/>
      <c r="AR12" s="44"/>
      <c r="AS12" s="61"/>
      <c r="AT12" s="44"/>
      <c r="AU12" s="44"/>
      <c r="AV12" s="44"/>
    </row>
    <row r="13" spans="3:48" x14ac:dyDescent="0.25">
      <c r="C13" s="46"/>
      <c r="D13" s="47"/>
      <c r="E13" s="48"/>
      <c r="F13" s="49"/>
      <c r="G13" s="49"/>
      <c r="H13" s="50"/>
      <c r="I13" s="51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3"/>
      <c r="U13" s="52"/>
      <c r="V13" s="52"/>
      <c r="W13" s="52"/>
      <c r="X13" s="54"/>
      <c r="Y13" s="54"/>
      <c r="Z13" s="54"/>
      <c r="AA13" s="54"/>
      <c r="AB13" s="54"/>
      <c r="AC13" s="54"/>
      <c r="AD13" s="55"/>
      <c r="AE13" s="55"/>
      <c r="AF13" s="55"/>
      <c r="AG13" s="55"/>
      <c r="AH13" s="44"/>
      <c r="AI13" s="45"/>
      <c r="AJ13" s="45"/>
      <c r="AK13" s="45"/>
      <c r="AL13" s="61"/>
      <c r="AM13" s="45"/>
      <c r="AN13" s="44"/>
      <c r="AO13" s="44"/>
      <c r="AP13" s="44"/>
      <c r="AQ13" s="44"/>
      <c r="AR13" s="44"/>
      <c r="AS13" s="61"/>
      <c r="AT13" s="44"/>
      <c r="AU13" s="44"/>
      <c r="AV13" s="44"/>
    </row>
    <row r="14" spans="3:48" x14ac:dyDescent="0.25">
      <c r="C14" s="46"/>
      <c r="D14" s="47"/>
      <c r="E14" s="48"/>
      <c r="F14" s="49"/>
      <c r="G14" s="49"/>
      <c r="H14" s="50"/>
      <c r="I14" s="44"/>
      <c r="J14" s="52"/>
      <c r="K14" s="51"/>
      <c r="L14" s="52"/>
      <c r="M14" s="52"/>
      <c r="N14" s="52"/>
      <c r="O14" s="52"/>
      <c r="P14" s="52"/>
      <c r="Q14" s="52"/>
      <c r="R14" s="44"/>
      <c r="S14" s="44"/>
      <c r="T14" s="44"/>
      <c r="U14" s="52"/>
      <c r="V14" s="52"/>
      <c r="W14" s="52"/>
      <c r="X14" s="54"/>
      <c r="Y14" s="54"/>
      <c r="Z14" s="54"/>
      <c r="AA14" s="54"/>
      <c r="AB14" s="54"/>
      <c r="AC14" s="54"/>
      <c r="AD14" s="55"/>
      <c r="AE14" s="55"/>
      <c r="AF14" s="55"/>
      <c r="AG14" s="55"/>
      <c r="AH14" s="44"/>
      <c r="AI14" s="45"/>
      <c r="AJ14" s="45"/>
      <c r="AK14" s="45"/>
      <c r="AL14" s="61"/>
      <c r="AM14" s="45"/>
      <c r="AN14" s="44"/>
      <c r="AO14" s="44"/>
      <c r="AP14" s="44"/>
      <c r="AQ14" s="44"/>
      <c r="AR14" s="44"/>
      <c r="AS14" s="61"/>
      <c r="AT14" s="44"/>
      <c r="AU14" s="44"/>
      <c r="AV14" s="44"/>
    </row>
    <row r="15" spans="3:48" x14ac:dyDescent="0.25">
      <c r="C15" s="46"/>
      <c r="D15" s="56"/>
      <c r="E15" s="57"/>
      <c r="F15" s="55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67" t="s">
        <v>33</v>
      </c>
      <c r="R15" s="67"/>
      <c r="S15" s="53"/>
      <c r="T15" s="44"/>
      <c r="U15" s="44"/>
      <c r="V15" s="58"/>
      <c r="W15" s="58"/>
      <c r="X15" s="59" t="s">
        <v>34</v>
      </c>
      <c r="Y15" s="60"/>
      <c r="Z15" s="60"/>
      <c r="AA15" s="60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61"/>
      <c r="AT15" s="44"/>
      <c r="AU15" s="44"/>
      <c r="AV15" s="44"/>
    </row>
    <row r="16" spans="3:48" x14ac:dyDescent="0.25">
      <c r="C16" s="46"/>
      <c r="D16" s="56"/>
      <c r="E16" s="57"/>
      <c r="F16" s="55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58"/>
      <c r="R16" s="59" t="s">
        <v>35</v>
      </c>
      <c r="S16" s="51"/>
      <c r="T16" s="44"/>
      <c r="U16" s="44"/>
      <c r="V16" s="58"/>
      <c r="W16" s="58"/>
      <c r="X16" s="59"/>
      <c r="Y16" s="60" t="s">
        <v>36</v>
      </c>
      <c r="Z16" s="60"/>
      <c r="AA16" s="60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61"/>
      <c r="AT16" s="44"/>
      <c r="AU16" s="44"/>
      <c r="AV16" s="44"/>
    </row>
    <row r="17" spans="3:48" x14ac:dyDescent="0.25">
      <c r="C17" s="46"/>
      <c r="D17" s="56"/>
      <c r="E17" s="57"/>
      <c r="F17" s="55"/>
      <c r="G17" s="55"/>
      <c r="H17" s="55"/>
      <c r="I17" s="51"/>
      <c r="J17" s="44"/>
      <c r="K17" s="44"/>
      <c r="L17" s="44"/>
      <c r="M17" s="44"/>
      <c r="N17" s="44"/>
      <c r="O17" s="44"/>
      <c r="P17" s="44"/>
      <c r="Q17" s="58"/>
      <c r="R17" s="59" t="s">
        <v>37</v>
      </c>
      <c r="S17" s="51"/>
      <c r="T17" s="44"/>
      <c r="U17" s="44"/>
      <c r="V17" s="58"/>
      <c r="W17" s="58"/>
      <c r="X17" s="59"/>
      <c r="Y17" s="60" t="s">
        <v>38</v>
      </c>
      <c r="Z17" s="60"/>
      <c r="AA17" s="60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61"/>
      <c r="AT17" s="44"/>
      <c r="AU17" s="44"/>
      <c r="AV17" s="44"/>
    </row>
    <row r="18" spans="3:48" x14ac:dyDescent="0.25">
      <c r="C18" s="46"/>
      <c r="D18" s="56"/>
      <c r="E18" s="57"/>
      <c r="F18" s="55"/>
      <c r="G18" s="55"/>
      <c r="H18" s="55"/>
      <c r="I18" s="51"/>
      <c r="J18" s="55"/>
      <c r="K18" s="55"/>
      <c r="L18" s="55"/>
      <c r="M18" s="58"/>
      <c r="N18" s="59"/>
      <c r="O18" s="58"/>
      <c r="P18" s="58"/>
      <c r="Q18" s="60"/>
      <c r="R18" s="60"/>
      <c r="S18" s="59"/>
      <c r="T18" s="60"/>
      <c r="U18" s="60"/>
      <c r="V18" s="44"/>
      <c r="W18" s="45"/>
      <c r="X18" s="45"/>
      <c r="Y18" s="45"/>
      <c r="Z18" s="61"/>
      <c r="AA18" s="61"/>
      <c r="AB18" s="62"/>
      <c r="AC18" s="61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61"/>
      <c r="AT18" s="44"/>
      <c r="AU18" s="44"/>
      <c r="AV18" s="44"/>
    </row>
  </sheetData>
  <mergeCells count="11">
    <mergeCell ref="D2:F2"/>
    <mergeCell ref="D4:H4"/>
    <mergeCell ref="I4:K4"/>
    <mergeCell ref="L4:N4"/>
    <mergeCell ref="P4:R4"/>
    <mergeCell ref="Q15:R15"/>
    <mergeCell ref="D3:F3"/>
    <mergeCell ref="X4:Z4"/>
    <mergeCell ref="AB4:AD4"/>
    <mergeCell ref="AE4:AG4"/>
    <mergeCell ref="T4:V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Jude Lawrence L. Sinugbuhan</dc:creator>
  <cp:lastModifiedBy>Jude Lawrence L. Sinugbuhan</cp:lastModifiedBy>
  <dcterms:created xsi:type="dcterms:W3CDTF">2026-09-19T08:38:21Z</dcterms:created>
  <dcterms:modified xsi:type="dcterms:W3CDTF">2026-10-02T05:42:22Z</dcterms:modified>
</cp:coreProperties>
</file>